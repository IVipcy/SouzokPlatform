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50.100\オーシャンファイル\⑤　株式会社オーシャン\91.星※個人フォルダ※20240920\"/>
    </mc:Choice>
  </mc:AlternateContent>
  <xr:revisionPtr revIDLastSave="0" documentId="13_ncr:1_{0332DE86-342C-49CD-A939-9E0253109FFF}" xr6:coauthVersionLast="47" xr6:coauthVersionMax="47" xr10:uidLastSave="{00000000-0000-0000-0000-000000000000}"/>
  <bookViews>
    <workbookView xWindow="-25155" yWindow="3750" windowWidth="9600" windowHeight="4845" activeTab="7" xr2:uid="{F2AFF3DB-3D2E-455B-B0C7-ABC0FD9C9889}"/>
  </bookViews>
  <sheets>
    <sheet name="Sheet1" sheetId="1" r:id="rId1"/>
    <sheet name="Sheet3" sheetId="3" r:id="rId2"/>
    <sheet name="Sheet2" sheetId="2" r:id="rId3"/>
    <sheet name="受注" sheetId="4" r:id="rId4"/>
    <sheet name="受注推移" sheetId="5" r:id="rId5"/>
    <sheet name="相続以外" sheetId="8" r:id="rId6"/>
    <sheet name="LP" sheetId="12" r:id="rId7"/>
    <sheet name="受注推移2" sheetId="11" r:id="rId8"/>
    <sheet name="顧客管理" sheetId="6" r:id="rId9"/>
    <sheet name="事務管理" sheetId="9" r:id="rId10"/>
    <sheet name="Sheet4" sheetId="10" r:id="rId11"/>
    <sheet name="Sheet5" sheetId="7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8" i="11" l="1"/>
  <c r="AA10" i="11" l="1"/>
  <c r="Y10" i="11"/>
  <c r="W10" i="11"/>
  <c r="U10" i="11"/>
  <c r="S10" i="11"/>
  <c r="Q10" i="11"/>
  <c r="O10" i="11"/>
  <c r="M10" i="11"/>
  <c r="K10" i="11"/>
  <c r="K11" i="11"/>
  <c r="O38" i="11"/>
  <c r="K38" i="11"/>
  <c r="M38" i="11"/>
  <c r="AA38" i="11"/>
  <c r="Y38" i="11"/>
  <c r="W38" i="11"/>
  <c r="U38" i="11"/>
  <c r="S38" i="11"/>
  <c r="Q38" i="11"/>
  <c r="AO90" i="8"/>
  <c r="AL90" i="8"/>
  <c r="AM90" i="8"/>
  <c r="AJ90" i="8"/>
  <c r="AI90" i="8"/>
  <c r="AG90" i="8"/>
  <c r="AF90" i="8"/>
  <c r="AD90" i="8"/>
  <c r="AC90" i="8"/>
  <c r="AA90" i="8"/>
  <c r="Z90" i="8"/>
  <c r="X90" i="8"/>
  <c r="W90" i="8"/>
  <c r="T90" i="8"/>
  <c r="Q90" i="8"/>
  <c r="U90" i="8"/>
  <c r="R90" i="8"/>
  <c r="O90" i="8"/>
  <c r="AM43" i="6"/>
  <c r="AR43" i="6"/>
  <c r="AW43" i="6"/>
  <c r="BB43" i="6"/>
  <c r="BG43" i="6"/>
  <c r="BI41" i="6"/>
  <c r="BD41" i="6"/>
  <c r="AY41" i="6"/>
  <c r="AT41" i="6"/>
  <c r="AO41" i="6"/>
  <c r="AJ41" i="6"/>
  <c r="BI42" i="6"/>
  <c r="BD42" i="6"/>
  <c r="AY42" i="6"/>
  <c r="AT42" i="6"/>
  <c r="AE41" i="6"/>
  <c r="R8" i="12"/>
  <c r="M8" i="12"/>
  <c r="H8" i="12"/>
  <c r="C8" i="12"/>
  <c r="BI59" i="6"/>
  <c r="BD59" i="6"/>
  <c r="AY59" i="6"/>
  <c r="AT59" i="6"/>
  <c r="AO59" i="6"/>
  <c r="AJ59" i="6"/>
  <c r="BD25" i="6"/>
  <c r="BI23" i="6"/>
  <c r="BD23" i="6"/>
  <c r="AY23" i="6"/>
  <c r="AY22" i="6"/>
  <c r="AT23" i="6"/>
  <c r="AO23" i="6"/>
  <c r="AJ23" i="6"/>
  <c r="AE23" i="6"/>
  <c r="Z23" i="6"/>
  <c r="U23" i="6"/>
  <c r="BI22" i="6"/>
  <c r="BD22" i="6"/>
  <c r="AT22" i="6"/>
  <c r="AO22" i="6"/>
  <c r="AJ22" i="6"/>
  <c r="AE22" i="6"/>
  <c r="Z22" i="6"/>
  <c r="U22" i="6"/>
  <c r="S77" i="6"/>
  <c r="BI64" i="6"/>
  <c r="BD64" i="6"/>
  <c r="AY64" i="6"/>
  <c r="AT64" i="6"/>
  <c r="AO64" i="6"/>
  <c r="AJ64" i="6"/>
  <c r="AE64" i="6"/>
  <c r="Z64" i="6"/>
  <c r="U64" i="6"/>
  <c r="BI63" i="6"/>
  <c r="BD63" i="6"/>
  <c r="AY63" i="6"/>
  <c r="AT63" i="6"/>
  <c r="AO63" i="6"/>
  <c r="AJ63" i="6"/>
  <c r="AE63" i="6"/>
  <c r="Z63" i="6"/>
  <c r="U63" i="6"/>
  <c r="BI62" i="6"/>
  <c r="BD62" i="6"/>
  <c r="AY62" i="6"/>
  <c r="AT62" i="6"/>
  <c r="AO62" i="6"/>
  <c r="AJ62" i="6"/>
  <c r="AE62" i="6"/>
  <c r="Z62" i="6"/>
  <c r="U62" i="6"/>
  <c r="S32" i="6"/>
  <c r="BI31" i="6"/>
  <c r="BD31" i="6"/>
  <c r="AY31" i="6"/>
  <c r="AT31" i="6"/>
  <c r="AO31" i="6"/>
  <c r="AJ31" i="6"/>
  <c r="AE31" i="6"/>
  <c r="Z31" i="6"/>
  <c r="U31" i="6"/>
  <c r="BI30" i="6"/>
  <c r="BD30" i="6"/>
  <c r="AY30" i="6"/>
  <c r="AT30" i="6"/>
  <c r="AO30" i="6"/>
  <c r="AJ30" i="6"/>
  <c r="AE30" i="6"/>
  <c r="Z30" i="6"/>
  <c r="U30" i="6"/>
  <c r="BI28" i="6"/>
  <c r="BD28" i="6"/>
  <c r="AY28" i="6"/>
  <c r="AT28" i="6"/>
  <c r="AO28" i="6"/>
  <c r="AJ28" i="6"/>
  <c r="AE28" i="6"/>
  <c r="Z28" i="6"/>
  <c r="U28" i="6"/>
  <c r="AH43" i="6"/>
  <c r="AC43" i="6"/>
  <c r="X43" i="6"/>
  <c r="S43" i="6"/>
  <c r="BN24" i="12"/>
  <c r="BI24" i="12"/>
  <c r="BD24" i="12"/>
  <c r="AY24" i="12"/>
  <c r="AT24" i="12"/>
  <c r="AO24" i="12"/>
  <c r="T47" i="6"/>
  <c r="BH47" i="6"/>
  <c r="BG32" i="6"/>
  <c r="BB32" i="6"/>
  <c r="AW32" i="6"/>
  <c r="AR32" i="6"/>
  <c r="AM32" i="6"/>
  <c r="AH32" i="6"/>
  <c r="W47" i="6"/>
  <c r="AC32" i="6"/>
  <c r="X32" i="6"/>
  <c r="AY25" i="6"/>
  <c r="BI25" i="6"/>
  <c r="AT25" i="6"/>
  <c r="AO25" i="6"/>
  <c r="AJ25" i="6"/>
  <c r="AE25" i="6"/>
  <c r="Z25" i="6"/>
  <c r="U25" i="6"/>
  <c r="BI53" i="6"/>
  <c r="BI54" i="6"/>
  <c r="BI55" i="6"/>
  <c r="BI56" i="6"/>
  <c r="BI57" i="6"/>
  <c r="BI58" i="6"/>
  <c r="BI60" i="6"/>
  <c r="BI61" i="6"/>
  <c r="BI65" i="6"/>
  <c r="BI66" i="6"/>
  <c r="BI67" i="6"/>
  <c r="BI68" i="6"/>
  <c r="BI69" i="6"/>
  <c r="BI70" i="6"/>
  <c r="BI71" i="6"/>
  <c r="BI72" i="6"/>
  <c r="BI73" i="6"/>
  <c r="BI52" i="6"/>
  <c r="BI51" i="6"/>
  <c r="BD53" i="6"/>
  <c r="BD54" i="6"/>
  <c r="BD55" i="6"/>
  <c r="BD56" i="6"/>
  <c r="BD57" i="6"/>
  <c r="BD58" i="6"/>
  <c r="BD60" i="6"/>
  <c r="BD61" i="6"/>
  <c r="BD65" i="6"/>
  <c r="BD66" i="6"/>
  <c r="BD67" i="6"/>
  <c r="BD68" i="6"/>
  <c r="BD69" i="6"/>
  <c r="BD70" i="6"/>
  <c r="BD71" i="6"/>
  <c r="BD72" i="6"/>
  <c r="BD73" i="6"/>
  <c r="BD52" i="6"/>
  <c r="BD51" i="6"/>
  <c r="AY53" i="6"/>
  <c r="AY54" i="6"/>
  <c r="AY55" i="6"/>
  <c r="AY56" i="6"/>
  <c r="AY57" i="6"/>
  <c r="AY58" i="6"/>
  <c r="AY60" i="6"/>
  <c r="AY61" i="6"/>
  <c r="AY65" i="6"/>
  <c r="AY66" i="6"/>
  <c r="AY67" i="6"/>
  <c r="AY68" i="6"/>
  <c r="AY69" i="6"/>
  <c r="AY70" i="6"/>
  <c r="AY71" i="6"/>
  <c r="AY72" i="6"/>
  <c r="AY73" i="6"/>
  <c r="AY52" i="6"/>
  <c r="AY51" i="6"/>
  <c r="AT53" i="6"/>
  <c r="AT54" i="6"/>
  <c r="AT55" i="6"/>
  <c r="AT56" i="6"/>
  <c r="AT57" i="6"/>
  <c r="AT58" i="6"/>
  <c r="AT60" i="6"/>
  <c r="AT61" i="6"/>
  <c r="AT65" i="6"/>
  <c r="AT66" i="6"/>
  <c r="AT67" i="6"/>
  <c r="AT68" i="6"/>
  <c r="AT69" i="6"/>
  <c r="AT70" i="6"/>
  <c r="AT71" i="6"/>
  <c r="AT72" i="6"/>
  <c r="AT73" i="6"/>
  <c r="AT52" i="6"/>
  <c r="AT51" i="6"/>
  <c r="AO53" i="6"/>
  <c r="AO54" i="6"/>
  <c r="AO55" i="6"/>
  <c r="AO56" i="6"/>
  <c r="AO57" i="6"/>
  <c r="AO58" i="6"/>
  <c r="AO60" i="6"/>
  <c r="AO61" i="6"/>
  <c r="AO65" i="6"/>
  <c r="AO66" i="6"/>
  <c r="AO67" i="6"/>
  <c r="AO68" i="6"/>
  <c r="AO69" i="6"/>
  <c r="AO70" i="6"/>
  <c r="AO71" i="6"/>
  <c r="AO72" i="6"/>
  <c r="AO73" i="6"/>
  <c r="AO52" i="6"/>
  <c r="AO51" i="6"/>
  <c r="AJ53" i="6"/>
  <c r="AJ54" i="6"/>
  <c r="AJ55" i="6"/>
  <c r="AJ56" i="6"/>
  <c r="AJ57" i="6"/>
  <c r="AJ58" i="6"/>
  <c r="AJ60" i="6"/>
  <c r="AJ61" i="6"/>
  <c r="AJ65" i="6"/>
  <c r="AJ66" i="6"/>
  <c r="AJ67" i="6"/>
  <c r="AJ68" i="6"/>
  <c r="AJ69" i="6"/>
  <c r="AJ70" i="6"/>
  <c r="AJ71" i="6"/>
  <c r="AJ72" i="6"/>
  <c r="AJ73" i="6"/>
  <c r="AJ52" i="6"/>
  <c r="AJ51" i="6"/>
  <c r="AE51" i="6"/>
  <c r="AE53" i="6"/>
  <c r="AE54" i="6"/>
  <c r="AE55" i="6"/>
  <c r="AE56" i="6"/>
  <c r="AE57" i="6"/>
  <c r="AE58" i="6"/>
  <c r="AE59" i="6"/>
  <c r="AE60" i="6"/>
  <c r="AE61" i="6"/>
  <c r="AE65" i="6"/>
  <c r="AE66" i="6"/>
  <c r="AE67" i="6"/>
  <c r="AE68" i="6"/>
  <c r="AE69" i="6"/>
  <c r="AE70" i="6"/>
  <c r="AE71" i="6"/>
  <c r="AE72" i="6"/>
  <c r="AE73" i="6"/>
  <c r="AE52" i="6"/>
  <c r="T77" i="6"/>
  <c r="U53" i="6"/>
  <c r="U54" i="6"/>
  <c r="U55" i="6"/>
  <c r="U56" i="6"/>
  <c r="U57" i="6"/>
  <c r="U58" i="6"/>
  <c r="U59" i="6"/>
  <c r="U60" i="6"/>
  <c r="U61" i="6"/>
  <c r="U65" i="6"/>
  <c r="U66" i="6"/>
  <c r="U67" i="6"/>
  <c r="U68" i="6"/>
  <c r="U69" i="6"/>
  <c r="U70" i="6"/>
  <c r="U71" i="6"/>
  <c r="U72" i="6"/>
  <c r="U73" i="6"/>
  <c r="U52" i="6"/>
  <c r="U51" i="6"/>
  <c r="U34" i="6"/>
  <c r="U13" i="6"/>
  <c r="U14" i="6"/>
  <c r="U15" i="6"/>
  <c r="U16" i="6"/>
  <c r="U35" i="6"/>
  <c r="U36" i="6"/>
  <c r="U17" i="6"/>
  <c r="U18" i="6"/>
  <c r="U19" i="6"/>
  <c r="U20" i="6"/>
  <c r="U21" i="6"/>
  <c r="U26" i="6"/>
  <c r="U27" i="6"/>
  <c r="U29" i="6"/>
  <c r="U37" i="6"/>
  <c r="U38" i="6"/>
  <c r="U39" i="6"/>
  <c r="U40" i="6"/>
  <c r="U11" i="6"/>
  <c r="U12" i="6"/>
  <c r="AT12" i="6"/>
  <c r="AT13" i="6"/>
  <c r="AT14" i="6"/>
  <c r="AT15" i="6"/>
  <c r="AT16" i="6"/>
  <c r="AT17" i="6"/>
  <c r="AT18" i="6"/>
  <c r="AT19" i="6"/>
  <c r="AT20" i="6"/>
  <c r="AT21" i="6"/>
  <c r="AT24" i="6"/>
  <c r="AT26" i="6"/>
  <c r="AT27" i="6"/>
  <c r="AT29" i="6"/>
  <c r="AT39" i="6"/>
  <c r="AT40" i="6"/>
  <c r="AT11" i="6"/>
  <c r="AO12" i="6"/>
  <c r="AO34" i="6"/>
  <c r="AO13" i="6"/>
  <c r="AO14" i="6"/>
  <c r="AO15" i="6"/>
  <c r="AO16" i="6"/>
  <c r="AO17" i="6"/>
  <c r="AO18" i="6"/>
  <c r="AO19" i="6"/>
  <c r="AO20" i="6"/>
  <c r="AO21" i="6"/>
  <c r="AO24" i="6"/>
  <c r="AO26" i="6"/>
  <c r="AO27" i="6"/>
  <c r="AO29" i="6"/>
  <c r="AO39" i="6"/>
  <c r="AO40" i="6"/>
  <c r="AO11" i="6"/>
  <c r="AJ40" i="6"/>
  <c r="AJ39" i="6"/>
  <c r="AJ38" i="6"/>
  <c r="AJ29" i="6"/>
  <c r="AJ27" i="6"/>
  <c r="AJ26" i="6"/>
  <c r="AJ24" i="6"/>
  <c r="AJ21" i="6"/>
  <c r="AJ20" i="6"/>
  <c r="AJ19" i="6"/>
  <c r="AJ18" i="6"/>
  <c r="AJ17" i="6"/>
  <c r="AJ35" i="6"/>
  <c r="AJ16" i="6"/>
  <c r="AJ15" i="6"/>
  <c r="AJ14" i="6"/>
  <c r="AJ13" i="6"/>
  <c r="AJ12" i="6"/>
  <c r="AJ11" i="6"/>
  <c r="AJ34" i="6"/>
  <c r="AE40" i="6"/>
  <c r="AE39" i="6"/>
  <c r="AE38" i="6"/>
  <c r="AE37" i="6"/>
  <c r="AE29" i="6"/>
  <c r="AE27" i="6"/>
  <c r="AE26" i="6"/>
  <c r="AE24" i="6"/>
  <c r="AE21" i="6"/>
  <c r="AE20" i="6"/>
  <c r="AE19" i="6"/>
  <c r="AE18" i="6"/>
  <c r="AE17" i="6"/>
  <c r="AE36" i="6"/>
  <c r="AE35" i="6"/>
  <c r="AE16" i="6"/>
  <c r="AE15" i="6"/>
  <c r="AE14" i="6"/>
  <c r="AE13" i="6"/>
  <c r="AE34" i="6"/>
  <c r="AE12" i="6"/>
  <c r="AE11" i="6"/>
  <c r="BN28" i="12"/>
  <c r="BI28" i="12"/>
  <c r="BD28" i="12"/>
  <c r="AY28" i="12"/>
  <c r="AT28" i="12"/>
  <c r="AO28" i="12"/>
  <c r="AJ28" i="12"/>
  <c r="AE28" i="12"/>
  <c r="BD30" i="12"/>
  <c r="AJ31" i="12"/>
  <c r="AJ30" i="12"/>
  <c r="BN21" i="12"/>
  <c r="BI21" i="12"/>
  <c r="BD21" i="12"/>
  <c r="AY21" i="12"/>
  <c r="AT21" i="12"/>
  <c r="AO21" i="12"/>
  <c r="AJ21" i="12"/>
  <c r="BN31" i="12"/>
  <c r="BN30" i="12"/>
  <c r="BN29" i="12"/>
  <c r="BN27" i="12"/>
  <c r="BN26" i="12"/>
  <c r="BN25" i="12"/>
  <c r="BN23" i="12"/>
  <c r="BN22" i="12"/>
  <c r="BN20" i="12"/>
  <c r="BN19" i="12"/>
  <c r="BN18" i="12"/>
  <c r="BN17" i="12"/>
  <c r="BI31" i="12"/>
  <c r="BI30" i="12"/>
  <c r="BI29" i="12"/>
  <c r="BI27" i="12"/>
  <c r="BI26" i="12"/>
  <c r="BI25" i="12"/>
  <c r="BI23" i="12"/>
  <c r="BI22" i="12"/>
  <c r="BI20" i="12"/>
  <c r="BI19" i="12"/>
  <c r="BI18" i="12"/>
  <c r="BI17" i="12"/>
  <c r="BD31" i="12"/>
  <c r="BD29" i="12"/>
  <c r="BD27" i="12"/>
  <c r="BD26" i="12"/>
  <c r="BD25" i="12"/>
  <c r="BD23" i="12"/>
  <c r="BD22" i="12"/>
  <c r="BD20" i="12"/>
  <c r="BD19" i="12"/>
  <c r="BD18" i="12"/>
  <c r="BD17" i="12"/>
  <c r="AY31" i="12"/>
  <c r="AY30" i="12"/>
  <c r="AY29" i="12"/>
  <c r="AY26" i="12"/>
  <c r="AY25" i="12"/>
  <c r="AY23" i="12"/>
  <c r="AY22" i="12"/>
  <c r="AY20" i="12"/>
  <c r="AY19" i="12"/>
  <c r="AY18" i="12"/>
  <c r="AY17" i="12"/>
  <c r="AT31" i="12"/>
  <c r="AT30" i="12"/>
  <c r="AT29" i="12"/>
  <c r="AT26" i="12"/>
  <c r="AT25" i="12"/>
  <c r="AT23" i="12"/>
  <c r="AT22" i="12"/>
  <c r="AT20" i="12"/>
  <c r="AT19" i="12"/>
  <c r="AT18" i="12"/>
  <c r="AT17" i="12"/>
  <c r="AT16" i="12"/>
  <c r="AO29" i="12"/>
  <c r="AO27" i="12"/>
  <c r="AO26" i="12"/>
  <c r="AO25" i="12"/>
  <c r="AO23" i="12"/>
  <c r="AO22" i="12"/>
  <c r="AO20" i="12"/>
  <c r="AO19" i="12"/>
  <c r="AO18" i="12"/>
  <c r="AO17" i="12"/>
  <c r="AO16" i="12"/>
  <c r="AJ29" i="12"/>
  <c r="AJ27" i="12"/>
  <c r="AJ26" i="12"/>
  <c r="AJ25" i="12"/>
  <c r="AJ24" i="12"/>
  <c r="AJ23" i="12"/>
  <c r="AJ22" i="12"/>
  <c r="AJ20" i="12"/>
  <c r="AJ19" i="12"/>
  <c r="AJ18" i="12"/>
  <c r="AJ17" i="12"/>
  <c r="AJ16" i="12"/>
  <c r="AE21" i="12"/>
  <c r="AE16" i="12"/>
  <c r="AE31" i="12"/>
  <c r="AE30" i="12"/>
  <c r="AE29" i="12"/>
  <c r="AE27" i="12"/>
  <c r="AE26" i="12"/>
  <c r="AE25" i="12"/>
  <c r="AE24" i="12"/>
  <c r="AE23" i="12"/>
  <c r="AE22" i="12"/>
  <c r="AE20" i="12"/>
  <c r="AE19" i="12"/>
  <c r="AE18" i="12"/>
  <c r="AE17" i="12"/>
  <c r="Z21" i="12"/>
  <c r="Z31" i="12"/>
  <c r="Z30" i="12"/>
  <c r="Z29" i="12"/>
  <c r="Z28" i="12"/>
  <c r="Z27" i="12"/>
  <c r="Z26" i="12"/>
  <c r="Z25" i="12"/>
  <c r="Z24" i="12"/>
  <c r="Z23" i="12"/>
  <c r="Z22" i="12"/>
  <c r="Z20" i="12"/>
  <c r="Z19" i="12"/>
  <c r="Z18" i="12"/>
  <c r="Z17" i="12"/>
  <c r="Z16" i="12"/>
  <c r="U31" i="12"/>
  <c r="U30" i="12"/>
  <c r="U29" i="12"/>
  <c r="U28" i="12"/>
  <c r="U27" i="12"/>
  <c r="U26" i="12"/>
  <c r="U25" i="12"/>
  <c r="U24" i="12"/>
  <c r="U23" i="12"/>
  <c r="U22" i="12"/>
  <c r="U20" i="12"/>
  <c r="U19" i="12"/>
  <c r="U18" i="12"/>
  <c r="U17" i="12"/>
  <c r="U16" i="12"/>
  <c r="P31" i="12"/>
  <c r="P30" i="12"/>
  <c r="P29" i="12"/>
  <c r="P28" i="12"/>
  <c r="P27" i="12"/>
  <c r="P26" i="12"/>
  <c r="P25" i="12"/>
  <c r="P24" i="12"/>
  <c r="P23" i="12"/>
  <c r="P22" i="12"/>
  <c r="P20" i="12"/>
  <c r="P19" i="12"/>
  <c r="P18" i="12"/>
  <c r="P17" i="12"/>
  <c r="P16" i="12"/>
  <c r="BO35" i="12"/>
  <c r="BJ35" i="12"/>
  <c r="BE35" i="12"/>
  <c r="AZ35" i="12"/>
  <c r="AU35" i="12"/>
  <c r="AP35" i="12"/>
  <c r="AK35" i="12"/>
  <c r="AF35" i="12"/>
  <c r="AA35" i="12"/>
  <c r="V35" i="12"/>
  <c r="Q35" i="12"/>
  <c r="L35" i="12"/>
  <c r="K16" i="12"/>
  <c r="K31" i="12"/>
  <c r="K30" i="12"/>
  <c r="K29" i="12"/>
  <c r="K28" i="12"/>
  <c r="K27" i="12"/>
  <c r="K26" i="12"/>
  <c r="K25" i="12"/>
  <c r="K24" i="12"/>
  <c r="K23" i="12"/>
  <c r="K22" i="12"/>
  <c r="K20" i="12"/>
  <c r="K19" i="12"/>
  <c r="K18" i="12"/>
  <c r="K17" i="12"/>
  <c r="F31" i="12"/>
  <c r="F30" i="12"/>
  <c r="F29" i="12"/>
  <c r="F28" i="12"/>
  <c r="F27" i="12"/>
  <c r="F26" i="12"/>
  <c r="F25" i="12"/>
  <c r="F24" i="12"/>
  <c r="F23" i="12"/>
  <c r="F22" i="12"/>
  <c r="F20" i="12"/>
  <c r="F19" i="12"/>
  <c r="F18" i="12"/>
  <c r="F17" i="12"/>
  <c r="F16" i="12"/>
  <c r="G35" i="12"/>
  <c r="BM35" i="12"/>
  <c r="BH35" i="12"/>
  <c r="BC35" i="12"/>
  <c r="AX35" i="12"/>
  <c r="AS35" i="12"/>
  <c r="AN35" i="12"/>
  <c r="AI35" i="12"/>
  <c r="AD35" i="12"/>
  <c r="Y35" i="12"/>
  <c r="T35" i="12"/>
  <c r="J35" i="12"/>
  <c r="O35" i="12"/>
  <c r="E35" i="12"/>
  <c r="Z51" i="6"/>
  <c r="BL35" i="12"/>
  <c r="BK35" i="12"/>
  <c r="BK4" i="12" s="1"/>
  <c r="BK5" i="12" s="1"/>
  <c r="BG35" i="12"/>
  <c r="BF35" i="12"/>
  <c r="BF4" i="12" s="1"/>
  <c r="BF5" i="12" s="1"/>
  <c r="BB35" i="12"/>
  <c r="BA35" i="12"/>
  <c r="BA4" i="12" s="1"/>
  <c r="BA5" i="12" s="1"/>
  <c r="AW35" i="12"/>
  <c r="AV35" i="12"/>
  <c r="AV4" i="12" s="1"/>
  <c r="AV5" i="12" s="1"/>
  <c r="AR35" i="12"/>
  <c r="AQ35" i="12"/>
  <c r="AQ4" i="12" s="1"/>
  <c r="AQ5" i="12" s="1"/>
  <c r="AM35" i="12"/>
  <c r="AL35" i="12"/>
  <c r="AL4" i="12" s="1"/>
  <c r="AL5" i="12" s="1"/>
  <c r="AH35" i="12"/>
  <c r="AG35" i="12"/>
  <c r="AG4" i="12" s="1"/>
  <c r="AG5" i="12" s="1"/>
  <c r="AC35" i="12"/>
  <c r="AB35" i="12"/>
  <c r="AB4" i="12" s="1"/>
  <c r="AB5" i="12" s="1"/>
  <c r="X35" i="12"/>
  <c r="W35" i="12"/>
  <c r="W4" i="12" s="1"/>
  <c r="W5" i="12" s="1"/>
  <c r="S35" i="12"/>
  <c r="R35" i="12"/>
  <c r="R4" i="12" s="1"/>
  <c r="R5" i="12" s="1"/>
  <c r="N35" i="12"/>
  <c r="M35" i="12"/>
  <c r="M4" i="12" s="1"/>
  <c r="M5" i="12" s="1"/>
  <c r="I35" i="12"/>
  <c r="H35" i="12"/>
  <c r="H4" i="12" s="1"/>
  <c r="H5" i="12" s="1"/>
  <c r="D35" i="12"/>
  <c r="C35" i="12"/>
  <c r="C4" i="12" s="1"/>
  <c r="C5" i="12" s="1"/>
  <c r="BG47" i="6" l="1"/>
  <c r="U47" i="6"/>
  <c r="AR47" i="6"/>
  <c r="S47" i="6"/>
  <c r="S81" i="6" s="1"/>
  <c r="S4" i="6" s="1"/>
  <c r="AH47" i="6"/>
  <c r="AM47" i="6"/>
  <c r="AW47" i="6"/>
  <c r="AC47" i="6"/>
  <c r="X47" i="6"/>
  <c r="BB47" i="6"/>
  <c r="AO47" i="6"/>
  <c r="AJ47" i="6"/>
  <c r="AE47" i="6"/>
  <c r="AT47" i="6"/>
  <c r="BN35" i="12"/>
  <c r="BK7" i="12" s="1"/>
  <c r="BI35" i="12"/>
  <c r="BF7" i="12" s="1"/>
  <c r="BD35" i="12"/>
  <c r="BA7" i="12" s="1"/>
  <c r="AE35" i="12"/>
  <c r="AB7" i="12" s="1"/>
  <c r="AJ35" i="12"/>
  <c r="AG7" i="12" s="1"/>
  <c r="AO35" i="12"/>
  <c r="AL7" i="12" s="1"/>
  <c r="AT35" i="12"/>
  <c r="AQ7" i="12" s="1"/>
  <c r="AY35" i="12"/>
  <c r="AV7" i="12" s="1"/>
  <c r="K35" i="12"/>
  <c r="H7" i="12" s="1"/>
  <c r="Z35" i="12"/>
  <c r="W7" i="12" s="1"/>
  <c r="U35" i="12"/>
  <c r="P35" i="12"/>
  <c r="F35" i="12"/>
  <c r="C7" i="12" s="1"/>
  <c r="R7" i="12"/>
  <c r="AD72" i="8" l="1"/>
  <c r="AM72" i="8"/>
  <c r="AJ72" i="8"/>
  <c r="AG72" i="8"/>
  <c r="AA72" i="8"/>
  <c r="X72" i="8"/>
  <c r="U72" i="8"/>
  <c r="R72" i="8"/>
  <c r="O72" i="8"/>
  <c r="L72" i="8"/>
  <c r="I72" i="8"/>
  <c r="F72" i="8"/>
  <c r="AO72" i="8"/>
  <c r="AN72" i="8"/>
  <c r="AN73" i="8" s="1"/>
  <c r="AM49" i="8" s="1"/>
  <c r="AL72" i="8"/>
  <c r="AK72" i="8"/>
  <c r="AK73" i="8" s="1"/>
  <c r="AJ49" i="8" s="1"/>
  <c r="AI72" i="8"/>
  <c r="AH72" i="8"/>
  <c r="AF72" i="8"/>
  <c r="AE72" i="8"/>
  <c r="AE73" i="8" s="1"/>
  <c r="AD49" i="8" s="1"/>
  <c r="AC72" i="8"/>
  <c r="AB72" i="8"/>
  <c r="AB73" i="8" s="1"/>
  <c r="AA49" i="8" s="1"/>
  <c r="Z72" i="8"/>
  <c r="Y72" i="8"/>
  <c r="Y73" i="8" s="1"/>
  <c r="X49" i="8" s="1"/>
  <c r="W72" i="8"/>
  <c r="V72" i="8"/>
  <c r="T72" i="8"/>
  <c r="S72" i="8"/>
  <c r="S73" i="8" s="1"/>
  <c r="R49" i="8" s="1"/>
  <c r="P72" i="8"/>
  <c r="N72" i="8"/>
  <c r="M72" i="8"/>
  <c r="M73" i="8" s="1"/>
  <c r="L49" i="8" s="1"/>
  <c r="J72" i="8"/>
  <c r="G72" i="8"/>
  <c r="G73" i="8" s="1"/>
  <c r="F49" i="8" s="1"/>
  <c r="D72" i="8"/>
  <c r="H72" i="8"/>
  <c r="E72" i="8"/>
  <c r="Z40" i="6"/>
  <c r="BC47" i="6"/>
  <c r="AX47" i="6"/>
  <c r="AS47" i="6"/>
  <c r="AN47" i="6"/>
  <c r="AI47" i="6"/>
  <c r="AD47" i="6"/>
  <c r="Y47" i="6"/>
  <c r="BI77" i="6"/>
  <c r="AY77" i="6"/>
  <c r="AE77" i="6"/>
  <c r="Z73" i="6"/>
  <c r="Z72" i="6"/>
  <c r="Z71" i="6"/>
  <c r="Z70" i="6"/>
  <c r="Z69" i="6"/>
  <c r="Z68" i="6"/>
  <c r="Z67" i="6"/>
  <c r="Z66" i="6"/>
  <c r="Z65" i="6"/>
  <c r="Z61" i="6"/>
  <c r="Z60" i="6"/>
  <c r="Z59" i="6"/>
  <c r="Z58" i="6"/>
  <c r="Z57" i="6"/>
  <c r="Z56" i="6"/>
  <c r="Z55" i="6"/>
  <c r="Z54" i="6"/>
  <c r="Z53" i="6"/>
  <c r="Z52" i="6"/>
  <c r="U77" i="6"/>
  <c r="U81" i="6" s="1"/>
  <c r="S6" i="6" s="1"/>
  <c r="BI29" i="6"/>
  <c r="BI27" i="6"/>
  <c r="BI26" i="6"/>
  <c r="BI24" i="6"/>
  <c r="BI21" i="6"/>
  <c r="BI20" i="6"/>
  <c r="BI19" i="6"/>
  <c r="BI18" i="6"/>
  <c r="BI17" i="6"/>
  <c r="BI16" i="6"/>
  <c r="BI15" i="6"/>
  <c r="BI14" i="6"/>
  <c r="BI13" i="6"/>
  <c r="BI12" i="6"/>
  <c r="BI11" i="6"/>
  <c r="BD40" i="6"/>
  <c r="BD39" i="6"/>
  <c r="BD29" i="6"/>
  <c r="BD27" i="6"/>
  <c r="BD26" i="6"/>
  <c r="BD24" i="6"/>
  <c r="BD21" i="6"/>
  <c r="BD20" i="6"/>
  <c r="BD19" i="6"/>
  <c r="BD18" i="6"/>
  <c r="BD17" i="6"/>
  <c r="BD16" i="6"/>
  <c r="BD15" i="6"/>
  <c r="BD14" i="6"/>
  <c r="BD13" i="6"/>
  <c r="BD12" i="6"/>
  <c r="BD11" i="6"/>
  <c r="AY40" i="6"/>
  <c r="AY39" i="6"/>
  <c r="AY29" i="6"/>
  <c r="AY27" i="6"/>
  <c r="AY26" i="6"/>
  <c r="AY24" i="6"/>
  <c r="AY21" i="6"/>
  <c r="AY20" i="6"/>
  <c r="AY19" i="6"/>
  <c r="AY18" i="6"/>
  <c r="AY17" i="6"/>
  <c r="AY16" i="6"/>
  <c r="AY15" i="6"/>
  <c r="AY14" i="6"/>
  <c r="AY13" i="6"/>
  <c r="AY12" i="6"/>
  <c r="AY11" i="6"/>
  <c r="Z34" i="6"/>
  <c r="Z13" i="6"/>
  <c r="Z14" i="6"/>
  <c r="Z15" i="6"/>
  <c r="Z16" i="6"/>
  <c r="Z35" i="6"/>
  <c r="Z36" i="6"/>
  <c r="Z17" i="6"/>
  <c r="Z18" i="6"/>
  <c r="Z19" i="6"/>
  <c r="Z20" i="6"/>
  <c r="Z21" i="6"/>
  <c r="Z24" i="6"/>
  <c r="Z26" i="6"/>
  <c r="Z27" i="6"/>
  <c r="Z29" i="6"/>
  <c r="Z37" i="6"/>
  <c r="Z38" i="6"/>
  <c r="Z39" i="6"/>
  <c r="Z12" i="6"/>
  <c r="Z11" i="6"/>
  <c r="J38" i="11"/>
  <c r="Z38" i="11"/>
  <c r="X38" i="11"/>
  <c r="V38" i="11"/>
  <c r="T38" i="11"/>
  <c r="R38" i="11"/>
  <c r="P38" i="11"/>
  <c r="O9" i="11" s="1"/>
  <c r="N38" i="11"/>
  <c r="L38" i="11"/>
  <c r="H38" i="11"/>
  <c r="I38" i="11"/>
  <c r="G38" i="11"/>
  <c r="AA49" i="11"/>
  <c r="Y49" i="11"/>
  <c r="W49" i="11"/>
  <c r="U49" i="11"/>
  <c r="D73" i="8" l="1"/>
  <c r="C49" i="8" s="1"/>
  <c r="V73" i="8"/>
  <c r="U49" i="8" s="1"/>
  <c r="AH73" i="8"/>
  <c r="AG49" i="8" s="1"/>
  <c r="AY47" i="6"/>
  <c r="AY81" i="6" s="1"/>
  <c r="AW6" i="6" s="1"/>
  <c r="Z47" i="6"/>
  <c r="BD47" i="6"/>
  <c r="BI47" i="6"/>
  <c r="BI81" i="6" s="1"/>
  <c r="BG6" i="6" s="1"/>
  <c r="Z77" i="6"/>
  <c r="AJ77" i="6"/>
  <c r="BD77" i="6"/>
  <c r="AO77" i="6"/>
  <c r="AE81" i="6"/>
  <c r="AC6" i="6" s="1"/>
  <c r="AT77" i="6"/>
  <c r="T81" i="6"/>
  <c r="BD81" i="6" l="1"/>
  <c r="BB6" i="6" s="1"/>
  <c r="Z81" i="6"/>
  <c r="X6" i="6" s="1"/>
  <c r="AT81" i="6"/>
  <c r="AR6" i="6" s="1"/>
  <c r="AO81" i="6"/>
  <c r="AM6" i="6" s="1"/>
  <c r="AJ81" i="6"/>
  <c r="AH6" i="6" s="1"/>
  <c r="BG77" i="6"/>
  <c r="BG81" i="6" s="1"/>
  <c r="BB77" i="6"/>
  <c r="BB81" i="6" s="1"/>
  <c r="AW77" i="6"/>
  <c r="AW81" i="6" s="1"/>
  <c r="AR77" i="6"/>
  <c r="AR81" i="6" s="1"/>
  <c r="AM77" i="6"/>
  <c r="AM81" i="6" s="1"/>
  <c r="AH77" i="6"/>
  <c r="AH81" i="6" s="1"/>
  <c r="AC77" i="6"/>
  <c r="AC81" i="6" s="1"/>
  <c r="X77" i="6"/>
  <c r="X81" i="6" s="1"/>
  <c r="V77" i="6"/>
  <c r="BK77" i="6"/>
  <c r="BH77" i="6" s="1"/>
  <c r="BJ77" i="6"/>
  <c r="BF77" i="6"/>
  <c r="BC77" i="6" s="1"/>
  <c r="BE77" i="6"/>
  <c r="BA77" i="6"/>
  <c r="AX77" i="6" s="1"/>
  <c r="AZ77" i="6"/>
  <c r="AV77" i="6"/>
  <c r="AS77" i="6" s="1"/>
  <c r="AU77" i="6"/>
  <c r="AQ77" i="6"/>
  <c r="AN77" i="6" s="1"/>
  <c r="AP77" i="6"/>
  <c r="AL77" i="6"/>
  <c r="AI77" i="6" s="1"/>
  <c r="AK77" i="6"/>
  <c r="AG77" i="6"/>
  <c r="AD77" i="6" s="1"/>
  <c r="AF77" i="6"/>
  <c r="AB77" i="6"/>
  <c r="Y77" i="6" s="1"/>
  <c r="AA77" i="6"/>
  <c r="W77" i="6"/>
  <c r="BK47" i="6"/>
  <c r="BJ47" i="6"/>
  <c r="BF47" i="6"/>
  <c r="BE47" i="6"/>
  <c r="BA47" i="6"/>
  <c r="AZ47" i="6"/>
  <c r="AV47" i="6"/>
  <c r="AU47" i="6"/>
  <c r="AQ47" i="6"/>
  <c r="AP47" i="6"/>
  <c r="AL47" i="6"/>
  <c r="AK47" i="6"/>
  <c r="AG47" i="6"/>
  <c r="AF47" i="6"/>
  <c r="AB47" i="6"/>
  <c r="AA47" i="6"/>
  <c r="V47" i="6"/>
  <c r="AA81" i="6" l="1"/>
  <c r="AP81" i="6"/>
  <c r="BJ81" i="6"/>
  <c r="AU81" i="6"/>
  <c r="Y81" i="6"/>
  <c r="BE81" i="6"/>
  <c r="AZ81" i="6"/>
  <c r="BK81" i="6"/>
  <c r="AL81" i="6"/>
  <c r="AB81" i="6"/>
  <c r="BF81" i="6"/>
  <c r="W81" i="6"/>
  <c r="AF81" i="6"/>
  <c r="AQ81" i="6"/>
  <c r="BA81" i="6"/>
  <c r="AS81" i="6"/>
  <c r="BC81" i="6"/>
  <c r="V81" i="6"/>
  <c r="AV81" i="6"/>
  <c r="X4" i="6"/>
  <c r="AK81" i="6"/>
  <c r="AC4" i="6"/>
  <c r="AG81" i="6"/>
  <c r="AN81" i="6"/>
  <c r="AX81" i="6"/>
  <c r="AI81" i="6"/>
  <c r="AD81" i="6"/>
  <c r="BG4" i="6"/>
  <c r="BH81" i="6"/>
  <c r="Q46" i="6"/>
  <c r="K46" i="6"/>
  <c r="G46" i="6"/>
  <c r="AA13" i="11"/>
  <c r="Y13" i="11"/>
  <c r="W13" i="11"/>
  <c r="U13" i="11"/>
  <c r="S49" i="11"/>
  <c r="S13" i="11" s="1"/>
  <c r="Q49" i="11"/>
  <c r="Q13" i="11" s="1"/>
  <c r="O49" i="11"/>
  <c r="O13" i="11" s="1"/>
  <c r="M49" i="11"/>
  <c r="M13" i="11" s="1"/>
  <c r="K49" i="11"/>
  <c r="K13" i="11" s="1"/>
  <c r="I49" i="11"/>
  <c r="I13" i="11" s="1"/>
  <c r="G49" i="11"/>
  <c r="G13" i="11" s="1"/>
  <c r="E49" i="11"/>
  <c r="E13" i="11" s="1"/>
  <c r="AA4" i="11"/>
  <c r="Y9" i="11"/>
  <c r="Y4" i="11"/>
  <c r="Y5" i="11" s="1"/>
  <c r="W9" i="11"/>
  <c r="U4" i="11"/>
  <c r="S9" i="11"/>
  <c r="S4" i="11"/>
  <c r="Q9" i="11"/>
  <c r="Q4" i="11"/>
  <c r="M4" i="11"/>
  <c r="K4" i="11"/>
  <c r="K5" i="11" s="1"/>
  <c r="I9" i="11"/>
  <c r="I4" i="11"/>
  <c r="I5" i="11" s="1"/>
  <c r="G9" i="11"/>
  <c r="F38" i="11"/>
  <c r="E38" i="11"/>
  <c r="E4" i="11" s="1"/>
  <c r="D38" i="11"/>
  <c r="C38" i="11"/>
  <c r="C4" i="11" s="1"/>
  <c r="C5" i="11" s="1"/>
  <c r="C13" i="11"/>
  <c r="AA11" i="11"/>
  <c r="Y11" i="11"/>
  <c r="W11" i="11"/>
  <c r="U11" i="11"/>
  <c r="S11" i="11"/>
  <c r="Q11" i="11"/>
  <c r="O11" i="11"/>
  <c r="M11" i="11"/>
  <c r="I11" i="11"/>
  <c r="G11" i="11"/>
  <c r="E11" i="11"/>
  <c r="AA9" i="11"/>
  <c r="U9" i="11"/>
  <c r="M9" i="11"/>
  <c r="K9" i="11"/>
  <c r="E9" i="11"/>
  <c r="W4" i="11"/>
  <c r="O4" i="11"/>
  <c r="G4" i="11"/>
  <c r="G5" i="11" s="1"/>
  <c r="E5" i="11" l="1"/>
  <c r="S3" i="6"/>
  <c r="S5" i="6" s="1"/>
  <c r="M5" i="11"/>
  <c r="X3" i="6"/>
  <c r="X5" i="6" s="1"/>
  <c r="W5" i="11"/>
  <c r="AW3" i="6"/>
  <c r="BB3" i="6"/>
  <c r="U5" i="11"/>
  <c r="AR3" i="6"/>
  <c r="S5" i="11"/>
  <c r="AM3" i="6"/>
  <c r="Q5" i="11"/>
  <c r="AH3" i="6"/>
  <c r="O5" i="11"/>
  <c r="AC3" i="6"/>
  <c r="AC5" i="6" s="1"/>
  <c r="AA5" i="11"/>
  <c r="BG3" i="6"/>
  <c r="BB4" i="6"/>
  <c r="AH4" i="6"/>
  <c r="AW4" i="6"/>
  <c r="AM4" i="6"/>
  <c r="AR4" i="6"/>
  <c r="F26" i="9"/>
  <c r="C5" i="9"/>
  <c r="E87" i="9"/>
  <c r="E11" i="9" s="1"/>
  <c r="W98" i="9"/>
  <c r="W12" i="9" s="1"/>
  <c r="Q98" i="9"/>
  <c r="Q12" i="9" s="1"/>
  <c r="K98" i="9"/>
  <c r="K12" i="9" s="1"/>
  <c r="E98" i="9"/>
  <c r="E12" i="9" s="1"/>
  <c r="AB98" i="9"/>
  <c r="AA98" i="9"/>
  <c r="AA12" i="9" s="1"/>
  <c r="Z98" i="9"/>
  <c r="Y98" i="9"/>
  <c r="Y12" i="9" s="1"/>
  <c r="X98" i="9"/>
  <c r="V98" i="9"/>
  <c r="U98" i="9"/>
  <c r="U12" i="9" s="1"/>
  <c r="T98" i="9"/>
  <c r="S98" i="9"/>
  <c r="S12" i="9" s="1"/>
  <c r="R98" i="9"/>
  <c r="P98" i="9"/>
  <c r="O98" i="9"/>
  <c r="O12" i="9" s="1"/>
  <c r="N98" i="9"/>
  <c r="M98" i="9"/>
  <c r="M12" i="9" s="1"/>
  <c r="L98" i="9"/>
  <c r="J98" i="9"/>
  <c r="I98" i="9"/>
  <c r="I12" i="9" s="1"/>
  <c r="H98" i="9"/>
  <c r="G98" i="9"/>
  <c r="G12" i="9" s="1"/>
  <c r="F98" i="9"/>
  <c r="AB87" i="9"/>
  <c r="AA87" i="9"/>
  <c r="AA11" i="9" s="1"/>
  <c r="Z87" i="9"/>
  <c r="Y87" i="9"/>
  <c r="Y11" i="9" s="1"/>
  <c r="X87" i="9"/>
  <c r="W87" i="9"/>
  <c r="W11" i="9" s="1"/>
  <c r="V87" i="9"/>
  <c r="U87" i="9"/>
  <c r="U11" i="9" s="1"/>
  <c r="T87" i="9"/>
  <c r="S87" i="9"/>
  <c r="S11" i="9" s="1"/>
  <c r="R87" i="9"/>
  <c r="Q87" i="9"/>
  <c r="Q11" i="9" s="1"/>
  <c r="P87" i="9"/>
  <c r="O87" i="9"/>
  <c r="O11" i="9" s="1"/>
  <c r="N87" i="9"/>
  <c r="M87" i="9"/>
  <c r="M11" i="9" s="1"/>
  <c r="L87" i="9"/>
  <c r="K87" i="9"/>
  <c r="K11" i="9" s="1"/>
  <c r="J87" i="9"/>
  <c r="I87" i="9"/>
  <c r="I11" i="9" s="1"/>
  <c r="H87" i="9"/>
  <c r="G87" i="9"/>
  <c r="G11" i="9" s="1"/>
  <c r="F87" i="9"/>
  <c r="L72" i="9"/>
  <c r="AB72" i="9"/>
  <c r="AA13" i="9" s="1"/>
  <c r="Z72" i="9"/>
  <c r="X72" i="9"/>
  <c r="V72" i="9"/>
  <c r="U13" i="9" s="1"/>
  <c r="T72" i="9"/>
  <c r="S13" i="9" s="1"/>
  <c r="R72" i="9"/>
  <c r="P72" i="9"/>
  <c r="N72" i="9"/>
  <c r="M13" i="9" s="1"/>
  <c r="J72" i="9"/>
  <c r="H72" i="9"/>
  <c r="G13" i="9" s="1"/>
  <c r="F72" i="9"/>
  <c r="E13" i="9" s="1"/>
  <c r="F57" i="9"/>
  <c r="E8" i="9" s="1"/>
  <c r="E72" i="9"/>
  <c r="E10" i="9" s="1"/>
  <c r="H26" i="9"/>
  <c r="I57" i="9"/>
  <c r="I7" i="9" s="1"/>
  <c r="H57" i="9"/>
  <c r="G8" i="9" s="1"/>
  <c r="AB57" i="9"/>
  <c r="AA8" i="9" s="1"/>
  <c r="AA57" i="9"/>
  <c r="AA7" i="9" s="1"/>
  <c r="Z57" i="9"/>
  <c r="Y8" i="9" s="1"/>
  <c r="Y57" i="9"/>
  <c r="Y7" i="9" s="1"/>
  <c r="X57" i="9"/>
  <c r="W8" i="9" s="1"/>
  <c r="W57" i="9"/>
  <c r="W7" i="9" s="1"/>
  <c r="V57" i="9"/>
  <c r="U8" i="9" s="1"/>
  <c r="U57" i="9"/>
  <c r="U7" i="9" s="1"/>
  <c r="T57" i="9"/>
  <c r="S8" i="9" s="1"/>
  <c r="S57" i="9"/>
  <c r="S7" i="9" s="1"/>
  <c r="R57" i="9"/>
  <c r="Q8" i="9" s="1"/>
  <c r="Q57" i="9"/>
  <c r="Q7" i="9" s="1"/>
  <c r="P57" i="9"/>
  <c r="O8" i="9" s="1"/>
  <c r="O57" i="9"/>
  <c r="O7" i="9" s="1"/>
  <c r="N57" i="9"/>
  <c r="M8" i="9" s="1"/>
  <c r="M57" i="9"/>
  <c r="M7" i="9" s="1"/>
  <c r="L57" i="9"/>
  <c r="K8" i="9" s="1"/>
  <c r="K57" i="9"/>
  <c r="K7" i="9" s="1"/>
  <c r="J57" i="9"/>
  <c r="I8" i="9" s="1"/>
  <c r="G57" i="9"/>
  <c r="G7" i="9" s="1"/>
  <c r="E57" i="9"/>
  <c r="E7" i="9" s="1"/>
  <c r="AW5" i="6" l="1"/>
  <c r="BB5" i="6"/>
  <c r="AR5" i="6"/>
  <c r="AM5" i="6"/>
  <c r="AH5" i="6"/>
  <c r="O13" i="9"/>
  <c r="W13" i="9"/>
  <c r="Y13" i="9"/>
  <c r="I13" i="9"/>
  <c r="K13" i="9"/>
  <c r="Q13" i="9"/>
  <c r="G5" i="9"/>
  <c r="G16" i="9" s="1"/>
  <c r="E5" i="9"/>
  <c r="E16" i="9" s="1"/>
  <c r="G26" i="9"/>
  <c r="G4" i="9" s="1"/>
  <c r="AB26" i="9"/>
  <c r="AA26" i="9"/>
  <c r="AA4" i="9" s="1"/>
  <c r="Z26" i="9"/>
  <c r="Y26" i="9"/>
  <c r="Y4" i="9" s="1"/>
  <c r="X26" i="9"/>
  <c r="W26" i="9"/>
  <c r="W4" i="9" s="1"/>
  <c r="V26" i="9"/>
  <c r="U26" i="9"/>
  <c r="U4" i="9" s="1"/>
  <c r="T26" i="9"/>
  <c r="S5" i="9" s="1"/>
  <c r="S16" i="9" s="1"/>
  <c r="S26" i="9"/>
  <c r="S4" i="9" s="1"/>
  <c r="R26" i="9"/>
  <c r="Q5" i="9" s="1"/>
  <c r="Q26" i="9"/>
  <c r="Q4" i="9" s="1"/>
  <c r="P26" i="9"/>
  <c r="O5" i="9" s="1"/>
  <c r="O26" i="9"/>
  <c r="O4" i="9" s="1"/>
  <c r="N26" i="9"/>
  <c r="M5" i="9" s="1"/>
  <c r="M16" i="9" s="1"/>
  <c r="M26" i="9"/>
  <c r="M4" i="9" s="1"/>
  <c r="L26" i="9"/>
  <c r="K5" i="9" s="1"/>
  <c r="K16" i="9" s="1"/>
  <c r="K26" i="9"/>
  <c r="K4" i="9" s="1"/>
  <c r="J26" i="9"/>
  <c r="I5" i="9" s="1"/>
  <c r="I26" i="9"/>
  <c r="I4" i="9" s="1"/>
  <c r="E26" i="9"/>
  <c r="E4" i="9" s="1"/>
  <c r="C6" i="9"/>
  <c r="AA72" i="9"/>
  <c r="AA10" i="9" s="1"/>
  <c r="Y72" i="9"/>
  <c r="Y10" i="9" s="1"/>
  <c r="W72" i="9"/>
  <c r="W10" i="9" s="1"/>
  <c r="U72" i="9"/>
  <c r="U10" i="9" s="1"/>
  <c r="S72" i="9"/>
  <c r="S10" i="9" s="1"/>
  <c r="Q72" i="9"/>
  <c r="Q10" i="9" s="1"/>
  <c r="O72" i="9"/>
  <c r="O10" i="9" s="1"/>
  <c r="M72" i="9"/>
  <c r="M10" i="9" s="1"/>
  <c r="K72" i="9"/>
  <c r="K10" i="9" s="1"/>
  <c r="I72" i="9"/>
  <c r="I10" i="9" s="1"/>
  <c r="G72" i="9"/>
  <c r="G10" i="9" s="1"/>
  <c r="C72" i="9"/>
  <c r="D47" i="9"/>
  <c r="C47" i="9"/>
  <c r="C7" i="9" s="1"/>
  <c r="AO130" i="8"/>
  <c r="AM116" i="8" s="1"/>
  <c r="AM130" i="8"/>
  <c r="AM114" i="8" s="1"/>
  <c r="AM115" i="8" s="1"/>
  <c r="AL130" i="8"/>
  <c r="AJ116" i="8" s="1"/>
  <c r="AJ130" i="8"/>
  <c r="AJ114" i="8" s="1"/>
  <c r="AJ115" i="8" s="1"/>
  <c r="AI130" i="8"/>
  <c r="AG116" i="8" s="1"/>
  <c r="AG130" i="8"/>
  <c r="AG114" i="8" s="1"/>
  <c r="AG115" i="8" s="1"/>
  <c r="AF130" i="8"/>
  <c r="AD116" i="8" s="1"/>
  <c r="AD130" i="8"/>
  <c r="AD114" i="8" s="1"/>
  <c r="AD115" i="8" s="1"/>
  <c r="AC130" i="8"/>
  <c r="AA116" i="8" s="1"/>
  <c r="AA130" i="8"/>
  <c r="AA114" i="8" s="1"/>
  <c r="AA115" i="8" s="1"/>
  <c r="Z130" i="8"/>
  <c r="X116" i="8" s="1"/>
  <c r="X130" i="8"/>
  <c r="X114" i="8" s="1"/>
  <c r="X115" i="8" s="1"/>
  <c r="W130" i="8"/>
  <c r="U116" i="8" s="1"/>
  <c r="U130" i="8"/>
  <c r="U114" i="8" s="1"/>
  <c r="U115" i="8" s="1"/>
  <c r="T130" i="8"/>
  <c r="R116" i="8" s="1"/>
  <c r="R130" i="8"/>
  <c r="R114" i="8" s="1"/>
  <c r="R115" i="8" s="1"/>
  <c r="Q130" i="8"/>
  <c r="O116" i="8" s="1"/>
  <c r="O130" i="8"/>
  <c r="O114" i="8" s="1"/>
  <c r="O115" i="8" s="1"/>
  <c r="N130" i="8"/>
  <c r="L116" i="8" s="1"/>
  <c r="L130" i="8"/>
  <c r="L114" i="8" s="1"/>
  <c r="L115" i="8" s="1"/>
  <c r="K130" i="8"/>
  <c r="I116" i="8" s="1"/>
  <c r="I130" i="8"/>
  <c r="I114" i="8" s="1"/>
  <c r="I115" i="8" s="1"/>
  <c r="H130" i="8"/>
  <c r="F130" i="8"/>
  <c r="F114" i="8" s="1"/>
  <c r="F115" i="8" s="1"/>
  <c r="F116" i="8"/>
  <c r="E130" i="8"/>
  <c r="C116" i="8" s="1"/>
  <c r="C130" i="8"/>
  <c r="C114" i="8" s="1"/>
  <c r="C115" i="8" s="1"/>
  <c r="AO110" i="8"/>
  <c r="AM96" i="8" s="1"/>
  <c r="AM110" i="8"/>
  <c r="AM94" i="8" s="1"/>
  <c r="AM95" i="8" s="1"/>
  <c r="AL110" i="8"/>
  <c r="AJ96" i="8" s="1"/>
  <c r="AJ110" i="8"/>
  <c r="AJ94" i="8" s="1"/>
  <c r="AJ95" i="8" s="1"/>
  <c r="AI110" i="8"/>
  <c r="AG110" i="8"/>
  <c r="AG94" i="8" s="1"/>
  <c r="AG95" i="8" s="1"/>
  <c r="AF110" i="8"/>
  <c r="AD96" i="8" s="1"/>
  <c r="AD110" i="8"/>
  <c r="AD94" i="8" s="1"/>
  <c r="AD95" i="8" s="1"/>
  <c r="AC110" i="8"/>
  <c r="AA96" i="8" s="1"/>
  <c r="AA110" i="8"/>
  <c r="AA94" i="8" s="1"/>
  <c r="AA95" i="8" s="1"/>
  <c r="Z110" i="8"/>
  <c r="X96" i="8" s="1"/>
  <c r="X110" i="8"/>
  <c r="X94" i="8" s="1"/>
  <c r="X95" i="8" s="1"/>
  <c r="W110" i="8"/>
  <c r="U96" i="8" s="1"/>
  <c r="U110" i="8"/>
  <c r="U94" i="8" s="1"/>
  <c r="U95" i="8" s="1"/>
  <c r="T110" i="8"/>
  <c r="R96" i="8" s="1"/>
  <c r="R110" i="8"/>
  <c r="R94" i="8" s="1"/>
  <c r="R95" i="8" s="1"/>
  <c r="Q110" i="8"/>
  <c r="O96" i="8" s="1"/>
  <c r="O110" i="8"/>
  <c r="O94" i="8" s="1"/>
  <c r="O95" i="8" s="1"/>
  <c r="N110" i="8"/>
  <c r="L96" i="8" s="1"/>
  <c r="L110" i="8"/>
  <c r="L94" i="8" s="1"/>
  <c r="L95" i="8" s="1"/>
  <c r="K110" i="8"/>
  <c r="I96" i="8" s="1"/>
  <c r="I110" i="8"/>
  <c r="I94" i="8" s="1"/>
  <c r="I95" i="8" s="1"/>
  <c r="H110" i="8"/>
  <c r="F96" i="8" s="1"/>
  <c r="F110" i="8"/>
  <c r="F94" i="8" s="1"/>
  <c r="F95" i="8" s="1"/>
  <c r="E110" i="8"/>
  <c r="C96" i="8" s="1"/>
  <c r="C110" i="8"/>
  <c r="C94" i="8" s="1"/>
  <c r="C95" i="8" s="1"/>
  <c r="AG96" i="8"/>
  <c r="AM79" i="8"/>
  <c r="AM77" i="8"/>
  <c r="AM78" i="8" s="1"/>
  <c r="AJ79" i="8"/>
  <c r="AG79" i="8"/>
  <c r="AG77" i="8"/>
  <c r="AG78" i="8" s="1"/>
  <c r="AD79" i="8"/>
  <c r="AD77" i="8"/>
  <c r="AD78" i="8" s="1"/>
  <c r="AA79" i="8"/>
  <c r="AA77" i="8"/>
  <c r="AA78" i="8" s="1"/>
  <c r="X79" i="8"/>
  <c r="X77" i="8"/>
  <c r="X78" i="8" s="1"/>
  <c r="U79" i="8"/>
  <c r="U77" i="8"/>
  <c r="U78" i="8" s="1"/>
  <c r="R79" i="8"/>
  <c r="R77" i="8"/>
  <c r="R78" i="8" s="1"/>
  <c r="O77" i="8"/>
  <c r="O78" i="8" s="1"/>
  <c r="O79" i="8"/>
  <c r="N90" i="8"/>
  <c r="L79" i="8" s="1"/>
  <c r="L90" i="8"/>
  <c r="L77" i="8" s="1"/>
  <c r="L78" i="8" s="1"/>
  <c r="K90" i="8"/>
  <c r="I79" i="8" s="1"/>
  <c r="I90" i="8"/>
  <c r="I77" i="8" s="1"/>
  <c r="I78" i="8" s="1"/>
  <c r="H90" i="8"/>
  <c r="F79" i="8" s="1"/>
  <c r="F90" i="8"/>
  <c r="F77" i="8" s="1"/>
  <c r="F78" i="8" s="1"/>
  <c r="C90" i="8"/>
  <c r="C77" i="8" s="1"/>
  <c r="C78" i="8" s="1"/>
  <c r="E90" i="8"/>
  <c r="C79" i="8" s="1"/>
  <c r="AM47" i="8"/>
  <c r="AM48" i="8" s="1"/>
  <c r="AJ47" i="8"/>
  <c r="AJ48" i="8" s="1"/>
  <c r="AG47" i="8"/>
  <c r="AG48" i="8" s="1"/>
  <c r="AD47" i="8"/>
  <c r="AD48" i="8" s="1"/>
  <c r="AA47" i="8"/>
  <c r="AA48" i="8" s="1"/>
  <c r="X47" i="8"/>
  <c r="X48" i="8" s="1"/>
  <c r="U47" i="8"/>
  <c r="U48" i="8" s="1"/>
  <c r="R47" i="8"/>
  <c r="R48" i="8" s="1"/>
  <c r="Q72" i="8"/>
  <c r="P73" i="8" s="1"/>
  <c r="O49" i="8" s="1"/>
  <c r="O47" i="8"/>
  <c r="O48" i="8" s="1"/>
  <c r="L47" i="8"/>
  <c r="L48" i="8" s="1"/>
  <c r="K72" i="8"/>
  <c r="J73" i="8" s="1"/>
  <c r="I49" i="8" s="1"/>
  <c r="I47" i="8"/>
  <c r="I48" i="8" s="1"/>
  <c r="F47" i="8"/>
  <c r="F48" i="8" s="1"/>
  <c r="C72" i="8"/>
  <c r="C47" i="8" s="1"/>
  <c r="C48" i="8" s="1"/>
  <c r="C43" i="8"/>
  <c r="C33" i="8" s="1"/>
  <c r="C34" i="8" s="1"/>
  <c r="E43" i="8"/>
  <c r="C35" i="8" s="1"/>
  <c r="F43" i="8"/>
  <c r="F33" i="8" s="1"/>
  <c r="F34" i="8" s="1"/>
  <c r="H43" i="8"/>
  <c r="F35" i="8" s="1"/>
  <c r="I43" i="8"/>
  <c r="I33" i="8" s="1"/>
  <c r="I34" i="8" s="1"/>
  <c r="K43" i="8"/>
  <c r="I35" i="8" s="1"/>
  <c r="L43" i="8"/>
  <c r="L33" i="8" s="1"/>
  <c r="L34" i="8" s="1"/>
  <c r="N43" i="8"/>
  <c r="L35" i="8" s="1"/>
  <c r="O43" i="8"/>
  <c r="O33" i="8" s="1"/>
  <c r="O34" i="8" s="1"/>
  <c r="Q43" i="8"/>
  <c r="O35" i="8" s="1"/>
  <c r="R43" i="8"/>
  <c r="R33" i="8" s="1"/>
  <c r="R34" i="8" s="1"/>
  <c r="T43" i="8"/>
  <c r="R35" i="8" s="1"/>
  <c r="U43" i="8"/>
  <c r="U33" i="8" s="1"/>
  <c r="U34" i="8" s="1"/>
  <c r="W43" i="8"/>
  <c r="U35" i="8" s="1"/>
  <c r="X43" i="8"/>
  <c r="X33" i="8" s="1"/>
  <c r="X34" i="8" s="1"/>
  <c r="Z43" i="8"/>
  <c r="X35" i="8" s="1"/>
  <c r="AA43" i="8"/>
  <c r="AA33" i="8" s="1"/>
  <c r="AA34" i="8" s="1"/>
  <c r="AC43" i="8"/>
  <c r="AA35" i="8" s="1"/>
  <c r="AD43" i="8"/>
  <c r="AD33" i="8" s="1"/>
  <c r="AD34" i="8" s="1"/>
  <c r="AF43" i="8"/>
  <c r="AD35" i="8" s="1"/>
  <c r="AG43" i="8"/>
  <c r="AG33" i="8" s="1"/>
  <c r="AG34" i="8" s="1"/>
  <c r="AI43" i="8"/>
  <c r="AG35" i="8" s="1"/>
  <c r="AJ43" i="8"/>
  <c r="AJ33" i="8" s="1"/>
  <c r="AJ34" i="8" s="1"/>
  <c r="AL43" i="8"/>
  <c r="AJ35" i="8" s="1"/>
  <c r="AM43" i="8"/>
  <c r="AM33" i="8" s="1"/>
  <c r="AM34" i="8" s="1"/>
  <c r="AO43" i="8"/>
  <c r="AM35" i="8" s="1"/>
  <c r="AO27" i="8"/>
  <c r="AM27" i="8"/>
  <c r="AM8" i="8" s="1"/>
  <c r="AL27" i="8"/>
  <c r="AJ27" i="8"/>
  <c r="AJ8" i="8" s="1"/>
  <c r="AI27" i="8"/>
  <c r="AG27" i="8"/>
  <c r="AG8" i="8" s="1"/>
  <c r="AF27" i="8"/>
  <c r="AD27" i="8"/>
  <c r="AD8" i="8" s="1"/>
  <c r="AC27" i="8"/>
  <c r="AA27" i="8"/>
  <c r="AA8" i="8" s="1"/>
  <c r="Z27" i="8"/>
  <c r="X27" i="8"/>
  <c r="X8" i="8" s="1"/>
  <c r="W27" i="8"/>
  <c r="U27" i="8"/>
  <c r="U8" i="8" s="1"/>
  <c r="T27" i="8"/>
  <c r="R27" i="8"/>
  <c r="R8" i="8" s="1"/>
  <c r="Q27" i="8"/>
  <c r="O27" i="8"/>
  <c r="O8" i="8" s="1"/>
  <c r="N27" i="8"/>
  <c r="L27" i="8"/>
  <c r="L8" i="8" s="1"/>
  <c r="H27" i="8"/>
  <c r="K27" i="8"/>
  <c r="E27" i="8"/>
  <c r="L17" i="8"/>
  <c r="L4" i="8" s="1"/>
  <c r="L5" i="8" s="1"/>
  <c r="N17" i="8"/>
  <c r="L6" i="8" s="1"/>
  <c r="C17" i="8"/>
  <c r="C4" i="8" s="1"/>
  <c r="C5" i="8" s="1"/>
  <c r="E17" i="8"/>
  <c r="C6" i="8" s="1"/>
  <c r="I27" i="8"/>
  <c r="I8" i="8" s="1"/>
  <c r="F27" i="8"/>
  <c r="F8" i="8" s="1"/>
  <c r="C27" i="8"/>
  <c r="C8" i="8" s="1"/>
  <c r="AO17" i="8"/>
  <c r="AM6" i="8" s="1"/>
  <c r="AM17" i="8"/>
  <c r="AM4" i="8" s="1"/>
  <c r="AM5" i="8" s="1"/>
  <c r="AL17" i="8"/>
  <c r="AJ6" i="8" s="1"/>
  <c r="AJ17" i="8"/>
  <c r="AJ4" i="8" s="1"/>
  <c r="AJ5" i="8" s="1"/>
  <c r="AI17" i="8"/>
  <c r="AG6" i="8" s="1"/>
  <c r="AG17" i="8"/>
  <c r="AG4" i="8" s="1"/>
  <c r="AG5" i="8" s="1"/>
  <c r="AF17" i="8"/>
  <c r="AD6" i="8" s="1"/>
  <c r="AD17" i="8"/>
  <c r="AD4" i="8" s="1"/>
  <c r="AD5" i="8" s="1"/>
  <c r="AC17" i="8"/>
  <c r="AA6" i="8" s="1"/>
  <c r="AA17" i="8"/>
  <c r="AA4" i="8" s="1"/>
  <c r="AA5" i="8" s="1"/>
  <c r="Z17" i="8"/>
  <c r="X6" i="8" s="1"/>
  <c r="X17" i="8"/>
  <c r="X4" i="8" s="1"/>
  <c r="X5" i="8" s="1"/>
  <c r="W17" i="8"/>
  <c r="U6" i="8" s="1"/>
  <c r="U17" i="8"/>
  <c r="U4" i="8" s="1"/>
  <c r="U5" i="8" s="1"/>
  <c r="T17" i="8"/>
  <c r="R6" i="8" s="1"/>
  <c r="R17" i="8"/>
  <c r="R4" i="8" s="1"/>
  <c r="R5" i="8" s="1"/>
  <c r="Q17" i="8"/>
  <c r="O6" i="8" s="1"/>
  <c r="O17" i="8"/>
  <c r="O4" i="8" s="1"/>
  <c r="O5" i="8" s="1"/>
  <c r="K17" i="8"/>
  <c r="I6" i="8" s="1"/>
  <c r="I17" i="8"/>
  <c r="I4" i="8" s="1"/>
  <c r="I5" i="8" s="1"/>
  <c r="H17" i="8"/>
  <c r="F6" i="8" s="1"/>
  <c r="F17" i="8"/>
  <c r="F4" i="8" s="1"/>
  <c r="F5" i="8" s="1"/>
  <c r="O4" i="1"/>
  <c r="O10" i="1"/>
  <c r="O8" i="1"/>
  <c r="O6" i="1"/>
  <c r="BG5" i="6"/>
  <c r="Q6" i="6"/>
  <c r="Q4" i="6"/>
  <c r="Q5" i="6" s="1"/>
  <c r="K6" i="6"/>
  <c r="K4" i="6"/>
  <c r="K5" i="6" s="1"/>
  <c r="G6" i="6"/>
  <c r="G4" i="6"/>
  <c r="G5" i="6" s="1"/>
  <c r="C6" i="6"/>
  <c r="C4" i="6"/>
  <c r="C5" i="6" s="1"/>
  <c r="Y47" i="5"/>
  <c r="Y8" i="5" s="1"/>
  <c r="U47" i="5"/>
  <c r="U8" i="5" s="1"/>
  <c r="E47" i="5"/>
  <c r="E8" i="5" s="1"/>
  <c r="C47" i="5"/>
  <c r="C8" i="5" s="1"/>
  <c r="K36" i="5"/>
  <c r="L36" i="5"/>
  <c r="K6" i="5" s="1"/>
  <c r="M36" i="5"/>
  <c r="M4" i="5" s="1"/>
  <c r="M5" i="5" s="1"/>
  <c r="N36" i="5"/>
  <c r="M6" i="5" s="1"/>
  <c r="O36" i="5"/>
  <c r="P36" i="5"/>
  <c r="O6" i="5" s="1"/>
  <c r="Q36" i="5"/>
  <c r="Q4" i="5" s="1"/>
  <c r="Q5" i="5" s="1"/>
  <c r="R36" i="5"/>
  <c r="Q6" i="5" s="1"/>
  <c r="S36" i="5"/>
  <c r="S4" i="5" s="1"/>
  <c r="S5" i="5" s="1"/>
  <c r="T36" i="5"/>
  <c r="S6" i="5" s="1"/>
  <c r="U36" i="5"/>
  <c r="U4" i="5" s="1"/>
  <c r="U5" i="5" s="1"/>
  <c r="V36" i="5"/>
  <c r="U6" i="5" s="1"/>
  <c r="W36" i="5"/>
  <c r="W4" i="5" s="1"/>
  <c r="W5" i="5" s="1"/>
  <c r="X36" i="5"/>
  <c r="W6" i="5" s="1"/>
  <c r="Y36" i="5"/>
  <c r="Y4" i="5" s="1"/>
  <c r="Y5" i="5" s="1"/>
  <c r="Z36" i="5"/>
  <c r="Y6" i="5" s="1"/>
  <c r="AA36" i="5"/>
  <c r="AA4" i="5" s="1"/>
  <c r="AA5" i="5" s="1"/>
  <c r="AB36" i="5"/>
  <c r="C36" i="5"/>
  <c r="D36" i="5"/>
  <c r="C6" i="5" s="1"/>
  <c r="E36" i="5"/>
  <c r="E4" i="5" s="1"/>
  <c r="E5" i="5" s="1"/>
  <c r="H36" i="5"/>
  <c r="G6" i="5" s="1"/>
  <c r="G36" i="5"/>
  <c r="G4" i="5" s="1"/>
  <c r="G5" i="5" s="1"/>
  <c r="F36" i="5"/>
  <c r="E6" i="5" s="1"/>
  <c r="I36" i="5"/>
  <c r="I4" i="5" s="1"/>
  <c r="I5" i="5" s="1"/>
  <c r="J36" i="5"/>
  <c r="K4" i="5"/>
  <c r="K5" i="5" s="1"/>
  <c r="AA92" i="5"/>
  <c r="AA54" i="5" s="1"/>
  <c r="AA55" i="5" s="1"/>
  <c r="AB92" i="5"/>
  <c r="AA56" i="5" s="1"/>
  <c r="Z92" i="5"/>
  <c r="Y56" i="5" s="1"/>
  <c r="Y92" i="5"/>
  <c r="Y54" i="5" s="1"/>
  <c r="Y55" i="5" s="1"/>
  <c r="X92" i="5"/>
  <c r="W56" i="5" s="1"/>
  <c r="W92" i="5"/>
  <c r="W54" i="5" s="1"/>
  <c r="W55" i="5" s="1"/>
  <c r="V92" i="5"/>
  <c r="U56" i="5" s="1"/>
  <c r="U92" i="5"/>
  <c r="U54" i="5" s="1"/>
  <c r="U55" i="5" s="1"/>
  <c r="T92" i="5"/>
  <c r="S56" i="5" s="1"/>
  <c r="S92" i="5"/>
  <c r="S54" i="5" s="1"/>
  <c r="S55" i="5" s="1"/>
  <c r="R92" i="5"/>
  <c r="Q56" i="5" s="1"/>
  <c r="Q92" i="5"/>
  <c r="Q54" i="5" s="1"/>
  <c r="Q55" i="5" s="1"/>
  <c r="P92" i="5"/>
  <c r="O56" i="5" s="1"/>
  <c r="O92" i="5"/>
  <c r="O54" i="5" s="1"/>
  <c r="O55" i="5" s="1"/>
  <c r="N92" i="5"/>
  <c r="M56" i="5" s="1"/>
  <c r="M92" i="5"/>
  <c r="M54" i="5" s="1"/>
  <c r="M55" i="5" s="1"/>
  <c r="L92" i="5"/>
  <c r="K56" i="5" s="1"/>
  <c r="K92" i="5"/>
  <c r="K54" i="5" s="1"/>
  <c r="K55" i="5" s="1"/>
  <c r="J92" i="5"/>
  <c r="I56" i="5" s="1"/>
  <c r="I92" i="5"/>
  <c r="I54" i="5" s="1"/>
  <c r="I55" i="5" s="1"/>
  <c r="H92" i="5"/>
  <c r="G56" i="5" s="1"/>
  <c r="G92" i="5"/>
  <c r="G54" i="5" s="1"/>
  <c r="G55" i="5" s="1"/>
  <c r="F92" i="5"/>
  <c r="E56" i="5" s="1"/>
  <c r="E92" i="5"/>
  <c r="E54" i="5" s="1"/>
  <c r="E55" i="5" s="1"/>
  <c r="D92" i="5"/>
  <c r="C56" i="5" s="1"/>
  <c r="C92" i="5"/>
  <c r="C54" i="5" s="1"/>
  <c r="C55" i="5" s="1"/>
  <c r="AA47" i="5"/>
  <c r="AA8" i="5" s="1"/>
  <c r="AA6" i="5"/>
  <c r="W47" i="5"/>
  <c r="W8" i="5" s="1"/>
  <c r="S47" i="5"/>
  <c r="S8" i="5" s="1"/>
  <c r="Q47" i="5"/>
  <c r="Q8" i="5" s="1"/>
  <c r="O47" i="5"/>
  <c r="O8" i="5" s="1"/>
  <c r="O4" i="5"/>
  <c r="O5" i="5" s="1"/>
  <c r="M47" i="5"/>
  <c r="M8" i="5" s="1"/>
  <c r="K47" i="5"/>
  <c r="K8" i="5" s="1"/>
  <c r="I47" i="5"/>
  <c r="I8" i="5" s="1"/>
  <c r="I6" i="5"/>
  <c r="G47" i="5"/>
  <c r="G8" i="5" s="1"/>
  <c r="C4" i="5"/>
  <c r="C5" i="5" s="1"/>
  <c r="E5" i="4"/>
  <c r="F5" i="4"/>
  <c r="G5" i="4"/>
  <c r="H5" i="4"/>
  <c r="I5" i="4"/>
  <c r="J5" i="4"/>
  <c r="K5" i="4"/>
  <c r="L5" i="4"/>
  <c r="M5" i="4"/>
  <c r="N5" i="4"/>
  <c r="O5" i="4"/>
  <c r="P5" i="4"/>
  <c r="Q5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Q7" i="4"/>
  <c r="P7" i="4"/>
  <c r="O7" i="4"/>
  <c r="N7" i="4"/>
  <c r="M7" i="4"/>
  <c r="L7" i="4"/>
  <c r="K7" i="4"/>
  <c r="J7" i="4"/>
  <c r="I7" i="4"/>
  <c r="H7" i="4"/>
  <c r="G7" i="4"/>
  <c r="F7" i="4"/>
  <c r="E7" i="4"/>
  <c r="M69" i="1"/>
  <c r="L69" i="1"/>
  <c r="M70" i="1"/>
  <c r="L70" i="1"/>
  <c r="K70" i="1"/>
  <c r="I69" i="1"/>
  <c r="U52" i="1"/>
  <c r="T52" i="1"/>
  <c r="S52" i="1"/>
  <c r="Q52" i="1"/>
  <c r="P52" i="1"/>
  <c r="O52" i="1"/>
  <c r="U50" i="1"/>
  <c r="T50" i="1"/>
  <c r="S50" i="1"/>
  <c r="Q50" i="1"/>
  <c r="P50" i="1"/>
  <c r="O50" i="1"/>
  <c r="T44" i="1"/>
  <c r="L8" i="1"/>
  <c r="M8" i="1"/>
  <c r="K8" i="1"/>
  <c r="H4" i="1"/>
  <c r="K6" i="1"/>
  <c r="M112" i="1"/>
  <c r="L112" i="1"/>
  <c r="K112" i="1"/>
  <c r="I112" i="1"/>
  <c r="H112" i="1"/>
  <c r="G112" i="1"/>
  <c r="F112" i="1"/>
  <c r="M58" i="1"/>
  <c r="L58" i="1"/>
  <c r="K58" i="1"/>
  <c r="I58" i="1"/>
  <c r="H58" i="1"/>
  <c r="G58" i="1"/>
  <c r="F58" i="1"/>
  <c r="M56" i="1"/>
  <c r="L56" i="1"/>
  <c r="K56" i="1"/>
  <c r="I56" i="1"/>
  <c r="H56" i="1"/>
  <c r="G56" i="1"/>
  <c r="F56" i="1"/>
  <c r="O112" i="1"/>
  <c r="U112" i="1"/>
  <c r="T112" i="1"/>
  <c r="S112" i="1"/>
  <c r="Q112" i="1"/>
  <c r="P112" i="1"/>
  <c r="M106" i="1"/>
  <c r="L106" i="1"/>
  <c r="K106" i="1"/>
  <c r="I106" i="1"/>
  <c r="H106" i="1"/>
  <c r="G106" i="1"/>
  <c r="F106" i="1"/>
  <c r="M104" i="1"/>
  <c r="L104" i="1"/>
  <c r="K104" i="1"/>
  <c r="I104" i="1"/>
  <c r="H104" i="1"/>
  <c r="G104" i="1"/>
  <c r="F104" i="1"/>
  <c r="M102" i="1"/>
  <c r="L102" i="1"/>
  <c r="K102" i="1"/>
  <c r="I102" i="1"/>
  <c r="H102" i="1"/>
  <c r="G102" i="1"/>
  <c r="F102" i="1"/>
  <c r="M100" i="1"/>
  <c r="L100" i="1"/>
  <c r="K100" i="1"/>
  <c r="I100" i="1"/>
  <c r="H100" i="1"/>
  <c r="G100" i="1"/>
  <c r="F100" i="1"/>
  <c r="M28" i="1"/>
  <c r="L28" i="1"/>
  <c r="K28" i="1"/>
  <c r="I28" i="1"/>
  <c r="H28" i="1"/>
  <c r="G28" i="1"/>
  <c r="F28" i="1"/>
  <c r="M26" i="1"/>
  <c r="L26" i="1"/>
  <c r="K26" i="1"/>
  <c r="I26" i="1"/>
  <c r="H26" i="1"/>
  <c r="G26" i="1"/>
  <c r="F26" i="1"/>
  <c r="M24" i="1"/>
  <c r="L24" i="1"/>
  <c r="K24" i="1"/>
  <c r="I24" i="1"/>
  <c r="H24" i="1"/>
  <c r="G24" i="1"/>
  <c r="F24" i="1"/>
  <c r="M22" i="1"/>
  <c r="L22" i="1"/>
  <c r="K22" i="1"/>
  <c r="I22" i="1"/>
  <c r="H22" i="1"/>
  <c r="G22" i="1"/>
  <c r="F22" i="1"/>
  <c r="G32" i="1"/>
  <c r="H32" i="1"/>
  <c r="I32" i="1"/>
  <c r="K32" i="1"/>
  <c r="L32" i="1"/>
  <c r="M32" i="1"/>
  <c r="F34" i="1"/>
  <c r="G34" i="1"/>
  <c r="H34" i="1"/>
  <c r="I34" i="1"/>
  <c r="K34" i="1"/>
  <c r="L34" i="1"/>
  <c r="M34" i="1"/>
  <c r="F38" i="1"/>
  <c r="G38" i="1"/>
  <c r="H38" i="1"/>
  <c r="I38" i="1"/>
  <c r="K38" i="1"/>
  <c r="L38" i="1"/>
  <c r="M38" i="1"/>
  <c r="F40" i="1"/>
  <c r="G40" i="1"/>
  <c r="H40" i="1"/>
  <c r="I40" i="1"/>
  <c r="K40" i="1"/>
  <c r="L40" i="1"/>
  <c r="M40" i="1"/>
  <c r="F44" i="1"/>
  <c r="G44" i="1"/>
  <c r="H44" i="1"/>
  <c r="I44" i="1"/>
  <c r="K44" i="1"/>
  <c r="L44" i="1"/>
  <c r="M44" i="1"/>
  <c r="F46" i="1"/>
  <c r="G46" i="1"/>
  <c r="H46" i="1"/>
  <c r="I46" i="1"/>
  <c r="K46" i="1"/>
  <c r="L46" i="1"/>
  <c r="M46" i="1"/>
  <c r="I70" i="1"/>
  <c r="H70" i="1"/>
  <c r="G70" i="1"/>
  <c r="F70" i="1"/>
  <c r="K69" i="1"/>
  <c r="G69" i="1"/>
  <c r="F69" i="1"/>
  <c r="H69" i="1"/>
  <c r="K74" i="1"/>
  <c r="K4" i="1"/>
  <c r="K10" i="1"/>
  <c r="U46" i="1"/>
  <c r="T46" i="1"/>
  <c r="S46" i="1"/>
  <c r="Q46" i="1"/>
  <c r="P46" i="1"/>
  <c r="O46" i="1"/>
  <c r="U44" i="1"/>
  <c r="S44" i="1"/>
  <c r="Q44" i="1"/>
  <c r="P44" i="1"/>
  <c r="O44" i="1"/>
  <c r="F94" i="1"/>
  <c r="G94" i="1"/>
  <c r="M80" i="1"/>
  <c r="L80" i="1"/>
  <c r="K80" i="1"/>
  <c r="I80" i="1"/>
  <c r="H80" i="1"/>
  <c r="G80" i="1"/>
  <c r="F80" i="1"/>
  <c r="M78" i="1"/>
  <c r="L78" i="1"/>
  <c r="K78" i="1"/>
  <c r="I78" i="1"/>
  <c r="H78" i="1"/>
  <c r="G78" i="1"/>
  <c r="F78" i="1"/>
  <c r="M76" i="1"/>
  <c r="L76" i="1"/>
  <c r="K76" i="1"/>
  <c r="I76" i="1"/>
  <c r="H76" i="1"/>
  <c r="G76" i="1"/>
  <c r="F76" i="1"/>
  <c r="M74" i="1"/>
  <c r="L74" i="1"/>
  <c r="I74" i="1"/>
  <c r="H74" i="1"/>
  <c r="G74" i="1"/>
  <c r="F74" i="1"/>
  <c r="F84" i="1"/>
  <c r="G84" i="1"/>
  <c r="H84" i="1"/>
  <c r="I84" i="1"/>
  <c r="K84" i="1"/>
  <c r="L84" i="1"/>
  <c r="M84" i="1"/>
  <c r="F86" i="1"/>
  <c r="G86" i="1"/>
  <c r="H86" i="1"/>
  <c r="I86" i="1"/>
  <c r="K86" i="1"/>
  <c r="L86" i="1"/>
  <c r="M86" i="1"/>
  <c r="F90" i="1"/>
  <c r="G90" i="1"/>
  <c r="H90" i="1"/>
  <c r="I90" i="1"/>
  <c r="K90" i="1"/>
  <c r="L90" i="1"/>
  <c r="M90" i="1"/>
  <c r="F92" i="1"/>
  <c r="G92" i="1"/>
  <c r="H92" i="1"/>
  <c r="I92" i="1"/>
  <c r="K92" i="1"/>
  <c r="L92" i="1"/>
  <c r="M92" i="1"/>
  <c r="H94" i="1"/>
  <c r="I94" i="1"/>
  <c r="K94" i="1"/>
  <c r="L94" i="1"/>
  <c r="M94" i="1"/>
  <c r="F96" i="1"/>
  <c r="G96" i="1"/>
  <c r="H96" i="1"/>
  <c r="I96" i="1"/>
  <c r="K96" i="1"/>
  <c r="L96" i="1"/>
  <c r="M96" i="1"/>
  <c r="M52" i="1"/>
  <c r="L52" i="1"/>
  <c r="K52" i="1"/>
  <c r="I52" i="1"/>
  <c r="H52" i="1"/>
  <c r="G52" i="1"/>
  <c r="F52" i="1"/>
  <c r="M50" i="1"/>
  <c r="L50" i="1"/>
  <c r="K50" i="1"/>
  <c r="I50" i="1"/>
  <c r="H50" i="1"/>
  <c r="G50" i="1"/>
  <c r="F50" i="1"/>
  <c r="M10" i="1"/>
  <c r="L10" i="1"/>
  <c r="I10" i="1"/>
  <c r="I8" i="1"/>
  <c r="H8" i="1"/>
  <c r="G8" i="1"/>
  <c r="F8" i="1"/>
  <c r="M6" i="1"/>
  <c r="L6" i="1"/>
  <c r="M4" i="1"/>
  <c r="L4" i="1"/>
  <c r="G10" i="1"/>
  <c r="H10" i="1"/>
  <c r="F10" i="1"/>
  <c r="I6" i="1"/>
  <c r="H6" i="1"/>
  <c r="G6" i="1"/>
  <c r="F6" i="1"/>
  <c r="I4" i="1"/>
  <c r="G4" i="1"/>
  <c r="F4" i="1"/>
  <c r="Q16" i="9" l="1"/>
  <c r="O16" i="9"/>
  <c r="I16" i="9"/>
  <c r="U5" i="9"/>
  <c r="U16" i="9" s="1"/>
  <c r="Y5" i="9"/>
  <c r="Y16" i="9" s="1"/>
  <c r="W5" i="9"/>
  <c r="W16" i="9" s="1"/>
  <c r="AA5" i="9"/>
  <c r="AA16" i="9" s="1"/>
  <c r="I6" i="9"/>
  <c r="I15" i="9" s="1"/>
  <c r="S6" i="9"/>
  <c r="S15" i="9" s="1"/>
  <c r="AA6" i="9"/>
  <c r="AA15" i="9" s="1"/>
  <c r="M6" i="9"/>
  <c r="M15" i="9" s="1"/>
  <c r="U6" i="9"/>
  <c r="U15" i="9" s="1"/>
  <c r="Y6" i="9"/>
  <c r="Y15" i="9" s="1"/>
  <c r="K6" i="9"/>
  <c r="K15" i="9" s="1"/>
  <c r="G6" i="9"/>
  <c r="G15" i="9" s="1"/>
  <c r="E6" i="9"/>
  <c r="E15" i="9" s="1"/>
  <c r="Q6" i="9"/>
  <c r="Q15" i="9" s="1"/>
  <c r="O6" i="9"/>
  <c r="O15" i="9" s="1"/>
  <c r="W6" i="9"/>
  <c r="W15" i="9" s="1"/>
  <c r="C4" i="9"/>
  <c r="AJ77" i="8"/>
  <c r="AJ78" i="8" s="1"/>
  <c r="F32" i="1"/>
</calcChain>
</file>

<file path=xl/sharedStrings.xml><?xml version="1.0" encoding="utf-8"?>
<sst xmlns="http://schemas.openxmlformats.org/spreadsheetml/2006/main" count="4394" uniqueCount="412">
  <si>
    <t>職種</t>
    <rPh sb="0" eb="2">
      <t>ショクシュ</t>
    </rPh>
    <phoneticPr fontId="2"/>
  </si>
  <si>
    <t>経理</t>
    <rPh sb="0" eb="2">
      <t>ケイリ</t>
    </rPh>
    <phoneticPr fontId="2"/>
  </si>
  <si>
    <t>労務</t>
    <rPh sb="0" eb="2">
      <t>ロウム</t>
    </rPh>
    <phoneticPr fontId="2"/>
  </si>
  <si>
    <t>社員</t>
    <rPh sb="0" eb="2">
      <t>シャイン</t>
    </rPh>
    <phoneticPr fontId="2"/>
  </si>
  <si>
    <t>12月</t>
    <rPh sb="2" eb="3">
      <t>ガツ</t>
    </rPh>
    <phoneticPr fontId="2"/>
  </si>
  <si>
    <t>1月</t>
    <rPh sb="1" eb="2">
      <t>ガツ</t>
    </rPh>
    <phoneticPr fontId="2"/>
  </si>
  <si>
    <t>2月</t>
    <rPh sb="1" eb="2">
      <t>ガツ</t>
    </rPh>
    <phoneticPr fontId="2"/>
  </si>
  <si>
    <t>3月</t>
    <rPh sb="1" eb="2">
      <t>ガツ</t>
    </rPh>
    <phoneticPr fontId="2"/>
  </si>
  <si>
    <t>4月</t>
    <rPh sb="1" eb="2">
      <t>ガツ</t>
    </rPh>
    <phoneticPr fontId="2"/>
  </si>
  <si>
    <t>適正</t>
    <rPh sb="0" eb="2">
      <t>テキセイ</t>
    </rPh>
    <phoneticPr fontId="2"/>
  </si>
  <si>
    <t>5月</t>
    <rPh sb="1" eb="2">
      <t>ガツ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</si>
  <si>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</si>
  <si>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</si>
  <si>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</si>
  <si>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</si>
  <si>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</si>
  <si>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11月</t>
    <rPh sb="2" eb="3">
      <t>ガツ</t>
    </rPh>
    <phoneticPr fontId="2"/>
  </si>
  <si>
    <t>労働時間</t>
    <rPh sb="0" eb="2">
      <t>ロウドウ</t>
    </rPh>
    <rPh sb="2" eb="4">
      <t>ジカン</t>
    </rPh>
    <phoneticPr fontId="2"/>
  </si>
  <si>
    <t>社員
（人数）</t>
    <rPh sb="0" eb="2">
      <t>シャイン</t>
    </rPh>
    <rPh sb="4" eb="6">
      <t>ニンズウ</t>
    </rPh>
    <phoneticPr fontId="2"/>
  </si>
  <si>
    <t>パート
（人数）</t>
    <rPh sb="5" eb="7">
      <t>ニンズウ</t>
    </rPh>
    <phoneticPr fontId="2"/>
  </si>
  <si>
    <t>※昨年11月は社員5名（寺川、後藤、本間、石原、興梠）</t>
    <rPh sb="1" eb="3">
      <t>サクネン</t>
    </rPh>
    <rPh sb="5" eb="6">
      <t>ガツ</t>
    </rPh>
    <rPh sb="7" eb="9">
      <t>シャイン</t>
    </rPh>
    <rPh sb="10" eb="11">
      <t>メイ</t>
    </rPh>
    <rPh sb="12" eb="14">
      <t>テラカワ</t>
    </rPh>
    <rPh sb="15" eb="17">
      <t>ゴトウ</t>
    </rPh>
    <rPh sb="18" eb="20">
      <t>ホンマ</t>
    </rPh>
    <rPh sb="21" eb="23">
      <t>イシハラ</t>
    </rPh>
    <rPh sb="24" eb="26">
      <t>コウロギ</t>
    </rPh>
    <phoneticPr fontId="2"/>
  </si>
  <si>
    <t>※11月は社員4名（まゆか、目黒、伊東、長濱）</t>
    <rPh sb="3" eb="4">
      <t>ガツ</t>
    </rPh>
    <rPh sb="5" eb="7">
      <t>シャイン</t>
    </rPh>
    <rPh sb="8" eb="9">
      <t>メイ</t>
    </rPh>
    <rPh sb="14" eb="16">
      <t>メグロ</t>
    </rPh>
    <rPh sb="17" eb="19">
      <t>イトウ</t>
    </rPh>
    <rPh sb="20" eb="22">
      <t>ナガハマ</t>
    </rPh>
    <phoneticPr fontId="2"/>
  </si>
  <si>
    <t>LP</t>
    <phoneticPr fontId="2"/>
  </si>
  <si>
    <t>※11月は13名（佐藤さん、小澤さんが退職）</t>
    <rPh sb="3" eb="4">
      <t>ガツ</t>
    </rPh>
    <rPh sb="7" eb="8">
      <t>メイ</t>
    </rPh>
    <rPh sb="8" eb="9">
      <t>シャメイ</t>
    </rPh>
    <rPh sb="9" eb="11">
      <t>サトウ</t>
    </rPh>
    <rPh sb="14" eb="16">
      <t>オザワ</t>
    </rPh>
    <rPh sb="19" eb="21">
      <t>タイショク</t>
    </rPh>
    <phoneticPr fontId="2"/>
  </si>
  <si>
    <r>
      <rPr>
        <sz val="8"/>
        <color theme="1"/>
        <rFont val="游ゴシック"/>
        <family val="3"/>
        <charset val="128"/>
        <scheme val="minor"/>
      </rPr>
      <t>総合職→200ｈ　一般職→165h　時短→ 130ｈ</t>
    </r>
    <r>
      <rPr>
        <sz val="11"/>
        <color theme="1"/>
        <rFont val="游ゴシック"/>
        <family val="2"/>
        <charset val="128"/>
        <scheme val="minor"/>
      </rPr>
      <t>　</t>
    </r>
    <phoneticPr fontId="2"/>
  </si>
  <si>
    <t>受注</t>
    <rPh sb="0" eb="2">
      <t>ジュチュウ</t>
    </rPh>
    <phoneticPr fontId="2"/>
  </si>
  <si>
    <t>管理</t>
    <rPh sb="0" eb="2">
      <t>カンリ</t>
    </rPh>
    <phoneticPr fontId="2"/>
  </si>
  <si>
    <t>登記</t>
    <rPh sb="0" eb="2">
      <t>トウキ</t>
    </rPh>
    <phoneticPr fontId="2"/>
  </si>
  <si>
    <t>身元保証</t>
    <rPh sb="0" eb="2">
      <t>ミモト</t>
    </rPh>
    <rPh sb="2" eb="4">
      <t>ホショウ</t>
    </rPh>
    <phoneticPr fontId="2"/>
  </si>
  <si>
    <t>コンサル
経営企画
法人営業
終活支援</t>
    <rPh sb="5" eb="7">
      <t>ケイエイ</t>
    </rPh>
    <rPh sb="7" eb="9">
      <t>キカク</t>
    </rPh>
    <rPh sb="10" eb="12">
      <t>ホウジン</t>
    </rPh>
    <rPh sb="12" eb="14">
      <t>エイギョウ</t>
    </rPh>
    <rPh sb="15" eb="17">
      <t>シュウカツ</t>
    </rPh>
    <rPh sb="17" eb="19">
      <t>シエン</t>
    </rPh>
    <phoneticPr fontId="2"/>
  </si>
  <si>
    <t>役員など</t>
    <rPh sb="0" eb="2">
      <t>ヤクイン</t>
    </rPh>
    <phoneticPr fontId="2"/>
  </si>
  <si>
    <t>社員数</t>
    <rPh sb="0" eb="3">
      <t>シャインスウ</t>
    </rPh>
    <phoneticPr fontId="2"/>
  </si>
  <si>
    <t>山田</t>
  </si>
  <si>
    <t>14年4ヶ月</t>
  </si>
  <si>
    <t>6年0ヶ月</t>
  </si>
  <si>
    <t>10年1ヶ月</t>
  </si>
  <si>
    <t>4年9ヶ月</t>
  </si>
  <si>
    <t>1年8ヶ月</t>
  </si>
  <si>
    <t>0年9ヶ月</t>
  </si>
  <si>
    <t>10年9ヶ月</t>
  </si>
  <si>
    <t>齋藤</t>
  </si>
  <si>
    <t>2年1ヶ月</t>
  </si>
  <si>
    <t>8年8ヶ月</t>
  </si>
  <si>
    <t>6年6ヶ月</t>
  </si>
  <si>
    <t>角田</t>
  </si>
  <si>
    <t>山崎（亮）</t>
  </si>
  <si>
    <t>13年2ヶ月</t>
  </si>
  <si>
    <t>5年3ヶ月</t>
  </si>
  <si>
    <t>6年9ヶ月</t>
  </si>
  <si>
    <t>1年1ヶ月</t>
  </si>
  <si>
    <t>0年6ヶ月</t>
  </si>
  <si>
    <t>7年9ヶ月</t>
  </si>
  <si>
    <t>9年1ヶ月</t>
  </si>
  <si>
    <t>0年3ヶ月</t>
  </si>
  <si>
    <t>0年0ヶ月</t>
  </si>
  <si>
    <t>氏名</t>
  </si>
  <si>
    <t>入社年月</t>
  </si>
  <si>
    <t>勤続年数</t>
  </si>
  <si>
    <t>勤務形態</t>
  </si>
  <si>
    <t>第一事業部・藤沢</t>
  </si>
  <si>
    <t>総合職</t>
  </si>
  <si>
    <t>嶋津</t>
  </si>
  <si>
    <t>五十嵐</t>
  </si>
  <si>
    <t>伊藤</t>
  </si>
  <si>
    <t>渡邉</t>
  </si>
  <si>
    <t>梅澤</t>
  </si>
  <si>
    <t>鵜飼</t>
  </si>
  <si>
    <t>藤田(早)</t>
  </si>
  <si>
    <t>時短</t>
  </si>
  <si>
    <t>馬場</t>
  </si>
  <si>
    <t>森谷</t>
  </si>
  <si>
    <t>新井</t>
  </si>
  <si>
    <t>花井</t>
  </si>
  <si>
    <t>森下</t>
  </si>
  <si>
    <t>杉原</t>
  </si>
  <si>
    <t>受注候補</t>
  </si>
  <si>
    <t>筆野</t>
  </si>
  <si>
    <t>上村</t>
  </si>
  <si>
    <t>市川</t>
  </si>
  <si>
    <t>登坂</t>
  </si>
  <si>
    <t>加藤</t>
  </si>
  <si>
    <t>鎌田</t>
  </si>
  <si>
    <t>総計</t>
  </si>
  <si>
    <t>内定者</t>
    <rPh sb="0" eb="3">
      <t>ナイテイシャ</t>
    </rPh>
    <phoneticPr fontId="2"/>
  </si>
  <si>
    <t>スタッフ</t>
    <phoneticPr fontId="2"/>
  </si>
  <si>
    <t>相続
スタッフ</t>
    <rPh sb="0" eb="2">
      <t>ソウゾク</t>
    </rPh>
    <phoneticPr fontId="2"/>
  </si>
  <si>
    <t>インターン</t>
    <phoneticPr fontId="2"/>
  </si>
  <si>
    <t>合計</t>
    <rPh sb="0" eb="2">
      <t>ゴウケイ</t>
    </rPh>
    <phoneticPr fontId="2"/>
  </si>
  <si>
    <t>研修中</t>
    <rPh sb="0" eb="3">
      <t>ケンシュウチュウ</t>
    </rPh>
    <phoneticPr fontId="2"/>
  </si>
  <si>
    <t>人事
労務</t>
    <rPh sb="0" eb="2">
      <t>ジンジ</t>
    </rPh>
    <rPh sb="3" eb="5">
      <t>ロウム</t>
    </rPh>
    <phoneticPr fontId="2"/>
  </si>
  <si>
    <t>総務</t>
    <rPh sb="0" eb="2">
      <t>ソウム</t>
    </rPh>
    <phoneticPr fontId="2"/>
  </si>
  <si>
    <t>【入社】</t>
    <phoneticPr fontId="2"/>
  </si>
  <si>
    <t>【退職/休職】</t>
    <phoneticPr fontId="2"/>
  </si>
  <si>
    <t>【退職/休職】
6月：本間さん※産休
派遣社員松本さん※6月までの契約</t>
    <rPh sb="9" eb="10">
      <t>ガツ</t>
    </rPh>
    <rPh sb="11" eb="13">
      <t>ホンマ</t>
    </rPh>
    <rPh sb="16" eb="18">
      <t>サンキュウ</t>
    </rPh>
    <rPh sb="19" eb="21">
      <t>ハケン</t>
    </rPh>
    <rPh sb="21" eb="23">
      <t>シャイン</t>
    </rPh>
    <rPh sb="23" eb="25">
      <t>マツモト</t>
    </rPh>
    <rPh sb="29" eb="30">
      <t>ガツ</t>
    </rPh>
    <rPh sb="33" eb="35">
      <t>ケイヤク</t>
    </rPh>
    <phoneticPr fontId="2"/>
  </si>
  <si>
    <t>【退職/休職】
4月：伊東さん※産休</t>
    <rPh sb="9" eb="10">
      <t>ガツ</t>
    </rPh>
    <rPh sb="11" eb="13">
      <t>イトウ</t>
    </rPh>
    <rPh sb="16" eb="18">
      <t>サンキュウ</t>
    </rPh>
    <phoneticPr fontId="2"/>
  </si>
  <si>
    <t xml:space="preserve">【入社】
1月：スタッフ嵯峨さん
</t>
    <rPh sb="6" eb="7">
      <t>ガツ</t>
    </rPh>
    <rPh sb="12" eb="14">
      <t>サガ</t>
    </rPh>
    <phoneticPr fontId="2"/>
  </si>
  <si>
    <t>【退職/休職】
1月：目黒さん※休職</t>
    <rPh sb="9" eb="10">
      <t>ガツ</t>
    </rPh>
    <rPh sb="11" eb="13">
      <t>メグロ</t>
    </rPh>
    <rPh sb="16" eb="18">
      <t>キュウショク</t>
    </rPh>
    <phoneticPr fontId="2"/>
  </si>
  <si>
    <t>【入社】
3月：川下さん
3月：目黒さん復帰</t>
    <rPh sb="6" eb="7">
      <t>ガツ</t>
    </rPh>
    <rPh sb="8" eb="10">
      <t>カワシタ</t>
    </rPh>
    <rPh sb="14" eb="15">
      <t>ガツ</t>
    </rPh>
    <rPh sb="16" eb="18">
      <t>メグロ</t>
    </rPh>
    <rPh sb="20" eb="22">
      <t>フッキ</t>
    </rPh>
    <phoneticPr fontId="2"/>
  </si>
  <si>
    <t>・新卒2名配属予定
・新卒は100h換算</t>
    <phoneticPr fontId="2"/>
  </si>
  <si>
    <t>【入社】
1月：提箸さん</t>
    <rPh sb="6" eb="7">
      <t>ガツ</t>
    </rPh>
    <rPh sb="8" eb="10">
      <t>サゲハシ</t>
    </rPh>
    <phoneticPr fontId="2"/>
  </si>
  <si>
    <t>【退職/休職】
12月：小澤さん
3月：安齋さん</t>
    <rPh sb="10" eb="11">
      <t>ガツ</t>
    </rPh>
    <rPh sb="12" eb="14">
      <t>オザワ</t>
    </rPh>
    <rPh sb="18" eb="19">
      <t>ガツ</t>
    </rPh>
    <rPh sb="20" eb="22">
      <t>アンザイ</t>
    </rPh>
    <phoneticPr fontId="2"/>
  </si>
  <si>
    <t>・総合職3、一般職8、時短1(1月)</t>
    <phoneticPr fontId="2"/>
  </si>
  <si>
    <r>
      <rPr>
        <sz val="8"/>
        <color theme="1"/>
        <rFont val="游ゴシック"/>
        <family val="3"/>
        <charset val="128"/>
        <scheme val="minor"/>
      </rPr>
      <t>総合職→200ｈ　一般職→165h　新卒→100h　時短→ 130ｈ</t>
    </r>
    <r>
      <rPr>
        <sz val="11"/>
        <color theme="1"/>
        <rFont val="游ゴシック"/>
        <family val="2"/>
        <charset val="128"/>
        <scheme val="minor"/>
      </rPr>
      <t>　</t>
    </r>
    <rPh sb="18" eb="20">
      <t>シンソツ</t>
    </rPh>
    <phoneticPr fontId="2"/>
  </si>
  <si>
    <t xml:space="preserve">【入社/デビュー】
1月；登坂さん、市川さん、加藤さん入社
2月：鎌田さん入社
3月：加藤さんデビュー
</t>
    <rPh sb="11" eb="12">
      <t>ガツ</t>
    </rPh>
    <rPh sb="13" eb="15">
      <t>トサカ</t>
    </rPh>
    <rPh sb="18" eb="20">
      <t>イチカワ</t>
    </rPh>
    <rPh sb="23" eb="25">
      <t>カトウ</t>
    </rPh>
    <rPh sb="27" eb="29">
      <t>ニュウシャ</t>
    </rPh>
    <rPh sb="31" eb="32">
      <t>ガツ</t>
    </rPh>
    <rPh sb="33" eb="35">
      <t>カマタ</t>
    </rPh>
    <rPh sb="37" eb="39">
      <t>ニュウシャ</t>
    </rPh>
    <rPh sb="41" eb="42">
      <t>ガツ</t>
    </rPh>
    <rPh sb="43" eb="45">
      <t>カトウ</t>
    </rPh>
    <phoneticPr fontId="2"/>
  </si>
  <si>
    <t>【退職/休職】
3月：鵜飼さん、伊藤さん</t>
    <rPh sb="9" eb="10">
      <t>ガツ</t>
    </rPh>
    <rPh sb="11" eb="13">
      <t>ウガイ</t>
    </rPh>
    <rPh sb="16" eb="18">
      <t>イトウ</t>
    </rPh>
    <phoneticPr fontId="2"/>
  </si>
  <si>
    <t>【入社/デビュー】
4月：太田さん入社
6月：鎌田さんデビュー</t>
    <rPh sb="11" eb="12">
      <t>ガツ</t>
    </rPh>
    <rPh sb="13" eb="15">
      <t>オオタ</t>
    </rPh>
    <rPh sb="17" eb="19">
      <t>ニュウシャ</t>
    </rPh>
    <rPh sb="21" eb="22">
      <t>ガツ</t>
    </rPh>
    <rPh sb="23" eb="25">
      <t>カマタ</t>
    </rPh>
    <phoneticPr fontId="2"/>
  </si>
  <si>
    <t>【入社/デビュー】
10月：登坂さん、市川さんデビュー
12月：太田さんデビュー</t>
    <rPh sb="14" eb="16">
      <t>トサカ</t>
    </rPh>
    <rPh sb="19" eb="21">
      <t>イチカワ</t>
    </rPh>
    <rPh sb="30" eb="31">
      <t>ガツ</t>
    </rPh>
    <rPh sb="32" eb="34">
      <t>オオタ</t>
    </rPh>
    <phoneticPr fontId="2"/>
  </si>
  <si>
    <t>【入社/デビュー】
7月：上村さんデビュー</t>
    <phoneticPr fontId="2"/>
  </si>
  <si>
    <t>【退職/休職】
1月：星萌さん
2月：槙本さん
2月：正中さん※産休
3月：横山さん</t>
    <rPh sb="9" eb="10">
      <t>ガツ</t>
    </rPh>
    <rPh sb="11" eb="12">
      <t>ホシ</t>
    </rPh>
    <rPh sb="12" eb="13">
      <t>モエ</t>
    </rPh>
    <rPh sb="17" eb="18">
      <t>ガツ</t>
    </rPh>
    <rPh sb="19" eb="21">
      <t>マキモト</t>
    </rPh>
    <rPh sb="25" eb="26">
      <t>ガツ</t>
    </rPh>
    <rPh sb="27" eb="28">
      <t>タダ</t>
    </rPh>
    <rPh sb="28" eb="29">
      <t>ナカ</t>
    </rPh>
    <rPh sb="32" eb="34">
      <t>サンキュウ</t>
    </rPh>
    <rPh sb="36" eb="37">
      <t>ガツ</t>
    </rPh>
    <rPh sb="38" eb="40">
      <t>ヨコヤマ</t>
    </rPh>
    <phoneticPr fontId="2"/>
  </si>
  <si>
    <t>【入社】
12月：得能さん</t>
    <rPh sb="7" eb="8">
      <t>ガツ</t>
    </rPh>
    <rPh sb="9" eb="10">
      <t>トク</t>
    </rPh>
    <rPh sb="10" eb="11">
      <t>ノウ</t>
    </rPh>
    <phoneticPr fontId="2"/>
  </si>
  <si>
    <t>【退職/休職】
4月；内定者11名それぞれ配属先へ</t>
    <rPh sb="9" eb="10">
      <t>ガツ</t>
    </rPh>
    <rPh sb="11" eb="14">
      <t>ナイテイシャ</t>
    </rPh>
    <rPh sb="16" eb="17">
      <t>メイ</t>
    </rPh>
    <rPh sb="21" eb="23">
      <t>ハイゾク</t>
    </rPh>
    <rPh sb="23" eb="24">
      <t>サキ</t>
    </rPh>
    <phoneticPr fontId="2"/>
  </si>
  <si>
    <t>【退職/休職】
～米田さん休職中</t>
    <rPh sb="9" eb="11">
      <t>ヨネダ</t>
    </rPh>
    <rPh sb="13" eb="16">
      <t>キュウショクチュウ</t>
    </rPh>
    <phoneticPr fontId="2"/>
  </si>
  <si>
    <t>【退職/休職】
大塚さん異動？</t>
    <rPh sb="8" eb="10">
      <t>オオツカ</t>
    </rPh>
    <rPh sb="12" eb="14">
      <t>イドウ</t>
    </rPh>
    <phoneticPr fontId="2"/>
  </si>
  <si>
    <t>【入社】
4月：築地原さん、山内さん</t>
    <rPh sb="6" eb="7">
      <t>ガツ</t>
    </rPh>
    <rPh sb="8" eb="11">
      <t>ツイチハラ</t>
    </rPh>
    <rPh sb="14" eb="16">
      <t>ヤマウチ</t>
    </rPh>
    <phoneticPr fontId="2"/>
  </si>
  <si>
    <t>【入社】
1月：國分さん合流</t>
    <rPh sb="6" eb="7">
      <t>ガツ</t>
    </rPh>
    <rPh sb="8" eb="10">
      <t>コクブン</t>
    </rPh>
    <rPh sb="12" eb="14">
      <t>ゴウリュウ</t>
    </rPh>
    <phoneticPr fontId="2"/>
  </si>
  <si>
    <t>【入社】
4月：平田さん、伊藤さん※新卒</t>
    <rPh sb="6" eb="7">
      <t>ガツ</t>
    </rPh>
    <rPh sb="8" eb="10">
      <t>ヒラタ</t>
    </rPh>
    <rPh sb="13" eb="15">
      <t>イトウ</t>
    </rPh>
    <rPh sb="18" eb="20">
      <t>シンソツ</t>
    </rPh>
    <phoneticPr fontId="2"/>
  </si>
  <si>
    <t>【退職/休職】
3月；上杉さん、制作スタッフ福田さん</t>
    <rPh sb="9" eb="10">
      <t>ガツ</t>
    </rPh>
    <rPh sb="11" eb="13">
      <t>ウエスギ</t>
    </rPh>
    <rPh sb="16" eb="18">
      <t>セイサク</t>
    </rPh>
    <rPh sb="22" eb="24">
      <t>フクダ</t>
    </rPh>
    <phoneticPr fontId="2"/>
  </si>
  <si>
    <t>不動産</t>
    <rPh sb="0" eb="3">
      <t>フドウサン</t>
    </rPh>
    <phoneticPr fontId="2"/>
  </si>
  <si>
    <t xml:space="preserve">【退職/休職】
</t>
    <phoneticPr fontId="2"/>
  </si>
  <si>
    <t xml:space="preserve">【入社】
</t>
    <phoneticPr fontId="2"/>
  </si>
  <si>
    <t>総合職→200ｈ　一般職→165h　新卒→100h　時短→ 130h　スタッフ→60h</t>
    <rPh sb="18" eb="20">
      <t>シンソツ</t>
    </rPh>
    <phoneticPr fontId="2"/>
  </si>
  <si>
    <t>事務
管理</t>
    <rPh sb="0" eb="2">
      <t>ジム</t>
    </rPh>
    <rPh sb="3" eb="5">
      <t>カンリ</t>
    </rPh>
    <phoneticPr fontId="2"/>
  </si>
  <si>
    <t>【入社】
1月：本多さん復帰</t>
    <rPh sb="6" eb="7">
      <t>ガツ</t>
    </rPh>
    <rPh sb="8" eb="10">
      <t>ホンダ</t>
    </rPh>
    <rPh sb="12" eb="14">
      <t>フッキ</t>
    </rPh>
    <phoneticPr fontId="2"/>
  </si>
  <si>
    <t>寺川</t>
    <rPh sb="0" eb="2">
      <t>テラカワ</t>
    </rPh>
    <phoneticPr fontId="2"/>
  </si>
  <si>
    <t>後藤</t>
    <rPh sb="0" eb="2">
      <t>ゴトウ</t>
    </rPh>
    <phoneticPr fontId="2"/>
  </si>
  <si>
    <t>松本（派遣）</t>
    <rPh sb="0" eb="2">
      <t>マツモト</t>
    </rPh>
    <rPh sb="3" eb="5">
      <t>ハケン</t>
    </rPh>
    <phoneticPr fontId="2"/>
  </si>
  <si>
    <t>滝澤</t>
    <rPh sb="0" eb="2">
      <t>タキザワ</t>
    </rPh>
    <phoneticPr fontId="2"/>
  </si>
  <si>
    <t>まゆか</t>
    <phoneticPr fontId="2"/>
  </si>
  <si>
    <t>伊東</t>
    <rPh sb="0" eb="2">
      <t>イトウ</t>
    </rPh>
    <phoneticPr fontId="2"/>
  </si>
  <si>
    <t>目黒</t>
    <rPh sb="0" eb="2">
      <t>メグロ</t>
    </rPh>
    <phoneticPr fontId="2"/>
  </si>
  <si>
    <t>川下</t>
    <rPh sb="0" eb="2">
      <t>カワシタ</t>
    </rPh>
    <phoneticPr fontId="2"/>
  </si>
  <si>
    <t>大戸</t>
    <rPh sb="0" eb="2">
      <t>オオト</t>
    </rPh>
    <phoneticPr fontId="2"/>
  </si>
  <si>
    <t>並木</t>
    <rPh sb="0" eb="2">
      <t>ナミキ</t>
    </rPh>
    <phoneticPr fontId="2"/>
  </si>
  <si>
    <t>濱里</t>
    <rPh sb="0" eb="2">
      <t>ハマザト</t>
    </rPh>
    <phoneticPr fontId="2"/>
  </si>
  <si>
    <t>松浦</t>
    <rPh sb="0" eb="2">
      <t>マツウラ</t>
    </rPh>
    <phoneticPr fontId="2"/>
  </si>
  <si>
    <t>※1-2月の社員1名は派遣社員</t>
    <rPh sb="4" eb="5">
      <t>ガツ</t>
    </rPh>
    <rPh sb="6" eb="8">
      <t>シャイン</t>
    </rPh>
    <rPh sb="9" eb="10">
      <t>メイ</t>
    </rPh>
    <rPh sb="11" eb="13">
      <t>ハケン</t>
    </rPh>
    <rPh sb="13" eb="15">
      <t>シャイン</t>
    </rPh>
    <phoneticPr fontId="2"/>
  </si>
  <si>
    <t>※3-6月の社員2名は派遣社員</t>
    <phoneticPr fontId="2"/>
  </si>
  <si>
    <t>※1月以降は休職中の本間さんノーカウント</t>
    <phoneticPr fontId="2"/>
  </si>
  <si>
    <t>※大戸さんは週1出勤のため25hでカウント</t>
    <phoneticPr fontId="2"/>
  </si>
  <si>
    <t>【退職/休職】
12月：石原さん（兼任）
1月：本間さん※休職
スタッフ山本さん、三木さん
2月：今西さん
3月：寺川さん</t>
    <rPh sb="1" eb="3">
      <t>タイショク</t>
    </rPh>
    <rPh sb="4" eb="6">
      <t>キュウショク</t>
    </rPh>
    <rPh sb="10" eb="11">
      <t>ガツ</t>
    </rPh>
    <rPh sb="12" eb="14">
      <t>イシハラ</t>
    </rPh>
    <rPh sb="17" eb="19">
      <t>ケンニン</t>
    </rPh>
    <rPh sb="22" eb="23">
      <t>ガツ</t>
    </rPh>
    <rPh sb="24" eb="26">
      <t>ホンマ</t>
    </rPh>
    <rPh sb="29" eb="31">
      <t>キュウショク</t>
    </rPh>
    <rPh sb="47" eb="48">
      <t>ガツ</t>
    </rPh>
    <phoneticPr fontId="2"/>
  </si>
  <si>
    <t>【退職/休職】
12月：石原さん（兼任）
※人数としては経理でカウント</t>
    <rPh sb="1" eb="3">
      <t>タイショク</t>
    </rPh>
    <rPh sb="4" eb="6">
      <t>キュウショク</t>
    </rPh>
    <rPh sb="10" eb="11">
      <t>ガツ</t>
    </rPh>
    <rPh sb="12" eb="14">
      <t>イシハラ</t>
    </rPh>
    <rPh sb="17" eb="19">
      <t>ケンニン</t>
    </rPh>
    <rPh sb="22" eb="24">
      <t>ニンズウ</t>
    </rPh>
    <rPh sb="28" eb="30">
      <t>ケイリ</t>
    </rPh>
    <phoneticPr fontId="2"/>
  </si>
  <si>
    <t>【入社】
4月：宮内さん、森山さん※新卒
5月：中田さん復帰?</t>
    <rPh sb="6" eb="7">
      <t>ガツ</t>
    </rPh>
    <rPh sb="8" eb="10">
      <t>ミヤウチ</t>
    </rPh>
    <rPh sb="13" eb="15">
      <t>モリヤマ</t>
    </rPh>
    <rPh sb="18" eb="20">
      <t>シンソツ</t>
    </rPh>
    <rPh sb="22" eb="23">
      <t>ガツ</t>
    </rPh>
    <rPh sb="24" eb="26">
      <t>ナカタ</t>
    </rPh>
    <rPh sb="28" eb="30">
      <t>フッキ</t>
    </rPh>
    <phoneticPr fontId="2"/>
  </si>
  <si>
    <t>受注候補は入社時に人数カウントなし（管理でカウント）</t>
    <rPh sb="0" eb="2">
      <t>ジュチュウ</t>
    </rPh>
    <rPh sb="2" eb="4">
      <t>コウホ</t>
    </rPh>
    <rPh sb="5" eb="7">
      <t>ニュウシャ</t>
    </rPh>
    <rPh sb="7" eb="8">
      <t>ジ</t>
    </rPh>
    <rPh sb="9" eb="11">
      <t>ニンズウ</t>
    </rPh>
    <rPh sb="18" eb="20">
      <t>カンリ</t>
    </rPh>
    <phoneticPr fontId="2"/>
  </si>
  <si>
    <t>受注デビュー月から人数カウント</t>
    <rPh sb="0" eb="2">
      <t>ジュチュウ</t>
    </rPh>
    <rPh sb="6" eb="7">
      <t>ヅキ</t>
    </rPh>
    <rPh sb="9" eb="11">
      <t>ニンズウ</t>
    </rPh>
    <phoneticPr fontId="2"/>
  </si>
  <si>
    <t>【退職/休職】
2月：森下さん
3月：根本さん
3月：加藤さん受注へ</t>
    <rPh sb="9" eb="10">
      <t>ガツ</t>
    </rPh>
    <rPh sb="11" eb="13">
      <t>モリシタ</t>
    </rPh>
    <rPh sb="17" eb="18">
      <t>ガツ</t>
    </rPh>
    <rPh sb="19" eb="21">
      <t>ネモト</t>
    </rPh>
    <rPh sb="25" eb="26">
      <t>ガツ</t>
    </rPh>
    <rPh sb="27" eb="29">
      <t>カトウ</t>
    </rPh>
    <rPh sb="31" eb="33">
      <t>ジュチュウ</t>
    </rPh>
    <phoneticPr fontId="2"/>
  </si>
  <si>
    <t>【入社】
1月：藤倉さん、登坂さん、市川さん、加藤さん
2月：鎌田さん</t>
    <rPh sb="6" eb="7">
      <t>ガツ</t>
    </rPh>
    <rPh sb="8" eb="10">
      <t>フジクラ</t>
    </rPh>
    <rPh sb="13" eb="15">
      <t>トサカ</t>
    </rPh>
    <rPh sb="18" eb="20">
      <t>イチカワ</t>
    </rPh>
    <rPh sb="23" eb="25">
      <t>カトウ</t>
    </rPh>
    <rPh sb="29" eb="30">
      <t>ガツ</t>
    </rPh>
    <rPh sb="31" eb="33">
      <t>カマタ</t>
    </rPh>
    <phoneticPr fontId="2"/>
  </si>
  <si>
    <t>【入社】
4月：太田さん
間瀬さん、芹ケ野さん、肥後さん、外所さん、守友さん※新卒</t>
    <rPh sb="6" eb="7">
      <t>ガツ</t>
    </rPh>
    <rPh sb="8" eb="10">
      <t>オオタ</t>
    </rPh>
    <rPh sb="13" eb="15">
      <t>マセ</t>
    </rPh>
    <rPh sb="18" eb="21">
      <t>セリガノ</t>
    </rPh>
    <rPh sb="24" eb="26">
      <t>ヒゴ</t>
    </rPh>
    <rPh sb="29" eb="31">
      <t>トドコロ</t>
    </rPh>
    <rPh sb="34" eb="35">
      <t>モリ</t>
    </rPh>
    <rPh sb="35" eb="36">
      <t>ユウ</t>
    </rPh>
    <rPh sb="39" eb="41">
      <t>シンソツ</t>
    </rPh>
    <phoneticPr fontId="2"/>
  </si>
  <si>
    <t>【退職/休職】
6月：鎌田さん受注へ</t>
    <rPh sb="9" eb="10">
      <t>ガツ</t>
    </rPh>
    <rPh sb="11" eb="13">
      <t>カマタ</t>
    </rPh>
    <rPh sb="15" eb="17">
      <t>ジュチュウ</t>
    </rPh>
    <phoneticPr fontId="2"/>
  </si>
  <si>
    <t>【退職/休職】
7月：上村さん受注へ</t>
    <rPh sb="9" eb="10">
      <t>ガツ</t>
    </rPh>
    <rPh sb="11" eb="13">
      <t>ウエムラ</t>
    </rPh>
    <rPh sb="15" eb="17">
      <t>ジュチュウ</t>
    </rPh>
    <phoneticPr fontId="2"/>
  </si>
  <si>
    <t>【退職/休職】
10月：登坂さん、市川さん受注へ
12月：太田さん受注へ</t>
    <rPh sb="10" eb="11">
      <t>ガツ</t>
    </rPh>
    <rPh sb="12" eb="14">
      <t>トサカ</t>
    </rPh>
    <rPh sb="17" eb="19">
      <t>イチカワ</t>
    </rPh>
    <rPh sb="21" eb="23">
      <t>ジュチュウ</t>
    </rPh>
    <rPh sb="27" eb="28">
      <t>ガツ</t>
    </rPh>
    <rPh sb="29" eb="31">
      <t>オオタ</t>
    </rPh>
    <rPh sb="33" eb="35">
      <t>ジュチュウ</t>
    </rPh>
    <phoneticPr fontId="2"/>
  </si>
  <si>
    <t>受注はデビュー月から人数マイナス</t>
    <rPh sb="0" eb="2">
      <t>ジュチュウ</t>
    </rPh>
    <rPh sb="7" eb="8">
      <t>ヅキ</t>
    </rPh>
    <rPh sb="10" eb="12">
      <t>ニンズウ</t>
    </rPh>
    <phoneticPr fontId="2"/>
  </si>
  <si>
    <t>【入社】
12月：スタッフ並木さん、濱里さん
1月：派遣社員松本さん
※6月末まで
2月：スタッフ松浦さん
3月：本間さん復帰
3月：派遣社員もう1名</t>
    <rPh sb="1" eb="3">
      <t>ニュウシャ</t>
    </rPh>
    <rPh sb="7" eb="8">
      <t>ガツ</t>
    </rPh>
    <rPh sb="13" eb="15">
      <t>ナミキ</t>
    </rPh>
    <rPh sb="18" eb="20">
      <t>ハマザト</t>
    </rPh>
    <rPh sb="24" eb="25">
      <t>ガツ</t>
    </rPh>
    <rPh sb="26" eb="28">
      <t>ハケン</t>
    </rPh>
    <rPh sb="28" eb="30">
      <t>シャイン</t>
    </rPh>
    <rPh sb="30" eb="32">
      <t>マツモト</t>
    </rPh>
    <rPh sb="37" eb="38">
      <t>ガツ</t>
    </rPh>
    <rPh sb="38" eb="39">
      <t>マツ</t>
    </rPh>
    <rPh sb="43" eb="44">
      <t>ガツ</t>
    </rPh>
    <rPh sb="49" eb="51">
      <t>マツウラ</t>
    </rPh>
    <rPh sb="55" eb="56">
      <t>ガツ</t>
    </rPh>
    <rPh sb="57" eb="59">
      <t>ホンマ</t>
    </rPh>
    <rPh sb="61" eb="63">
      <t>フッキ</t>
    </rPh>
    <rPh sb="65" eb="66">
      <t>ガツ</t>
    </rPh>
    <rPh sb="67" eb="69">
      <t>ハケン</t>
    </rPh>
    <rPh sb="69" eb="71">
      <t>シャイン</t>
    </rPh>
    <rPh sb="74" eb="75">
      <t>メイ</t>
    </rPh>
    <phoneticPr fontId="2"/>
  </si>
  <si>
    <t>総合職→200ｈ　一般職→165h　内定者→100h　時短→ 130h　スタッフ→60h</t>
    <rPh sb="18" eb="21">
      <t>ナイテイシャ</t>
    </rPh>
    <phoneticPr fontId="2"/>
  </si>
  <si>
    <t>適正人数</t>
    <rPh sb="0" eb="2">
      <t>テキセイ</t>
    </rPh>
    <rPh sb="2" eb="4">
      <t>ニンズウ</t>
    </rPh>
    <phoneticPr fontId="2"/>
  </si>
  <si>
    <t>デビュー済</t>
    <rPh sb="4" eb="5">
      <t>スミ</t>
    </rPh>
    <phoneticPr fontId="2"/>
  </si>
  <si>
    <t>デビュー前</t>
    <rPh sb="4" eb="5">
      <t>マエ</t>
    </rPh>
    <phoneticPr fontId="2"/>
  </si>
  <si>
    <t>差</t>
    <rPh sb="0" eb="1">
      <t>サ</t>
    </rPh>
    <phoneticPr fontId="2"/>
  </si>
  <si>
    <t>【入社/デビュー】
4月：太田さん入社
6月：鎌田さんデビュー</t>
    <phoneticPr fontId="2"/>
  </si>
  <si>
    <t>【入社】
4月：太田さん
間瀬さん、芹ケ野さん、肥後さん、外所さん、守友さん※新卒</t>
    <phoneticPr fontId="2"/>
  </si>
  <si>
    <t>【入社/デビュー】
10月：登坂さん、市川さんデビュー
12月：太田さんデビュー</t>
    <phoneticPr fontId="2"/>
  </si>
  <si>
    <t>受注担当</t>
    <rPh sb="0" eb="2">
      <t>ジュチュウ</t>
    </rPh>
    <rPh sb="2" eb="4">
      <t>タントウ</t>
    </rPh>
    <phoneticPr fontId="2"/>
  </si>
  <si>
    <t>加藤</t>
    <rPh sb="0" eb="2">
      <t>カトウ</t>
    </rPh>
    <phoneticPr fontId="2"/>
  </si>
  <si>
    <t>鎌田</t>
    <rPh sb="0" eb="2">
      <t>カマタ</t>
    </rPh>
    <phoneticPr fontId="2"/>
  </si>
  <si>
    <t>上村</t>
    <rPh sb="0" eb="2">
      <t>ウエムラ</t>
    </rPh>
    <phoneticPr fontId="2"/>
  </si>
  <si>
    <t>登坂</t>
    <rPh sb="0" eb="2">
      <t>トサカ</t>
    </rPh>
    <phoneticPr fontId="2"/>
  </si>
  <si>
    <t>市川</t>
    <rPh sb="0" eb="2">
      <t>イチカワ</t>
    </rPh>
    <phoneticPr fontId="2"/>
  </si>
  <si>
    <t>太田</t>
    <rPh sb="0" eb="2">
      <t>オオタ</t>
    </rPh>
    <phoneticPr fontId="2"/>
  </si>
  <si>
    <t>西原</t>
    <rPh sb="0" eb="2">
      <t>ニシハラ</t>
    </rPh>
    <phoneticPr fontId="2"/>
  </si>
  <si>
    <t>山田</t>
    <rPh sb="0" eb="2">
      <t>ヤマダ</t>
    </rPh>
    <phoneticPr fontId="2"/>
  </si>
  <si>
    <t>差異</t>
    <rPh sb="0" eb="2">
      <t>サイ</t>
    </rPh>
    <phoneticPr fontId="2"/>
  </si>
  <si>
    <t>受注候補</t>
    <rPh sb="0" eb="2">
      <t>ジュチュウ</t>
    </rPh>
    <rPh sb="2" eb="4">
      <t>コウホ</t>
    </rPh>
    <phoneticPr fontId="2"/>
  </si>
  <si>
    <t>西原</t>
    <phoneticPr fontId="2"/>
  </si>
  <si>
    <t>総合職→200ｈ　一般職→165h　時短→ 130ｈ　</t>
    <phoneticPr fontId="2"/>
  </si>
  <si>
    <t>受注マンパワー推移2026</t>
    <rPh sb="0" eb="2">
      <t>ジュチュウ</t>
    </rPh>
    <rPh sb="7" eb="9">
      <t>スイイ</t>
    </rPh>
    <phoneticPr fontId="2"/>
  </si>
  <si>
    <t>受注担当内訳</t>
    <rPh sb="0" eb="2">
      <t>ジュチュウ</t>
    </rPh>
    <rPh sb="2" eb="4">
      <t>タントウ</t>
    </rPh>
    <rPh sb="4" eb="6">
      <t>ウチワケ</t>
    </rPh>
    <phoneticPr fontId="2"/>
  </si>
  <si>
    <t>受注候補内訳</t>
    <rPh sb="0" eb="2">
      <t>ジュチュウ</t>
    </rPh>
    <rPh sb="2" eb="4">
      <t>コウホ</t>
    </rPh>
    <rPh sb="4" eb="6">
      <t>ウチワケ</t>
    </rPh>
    <phoneticPr fontId="2"/>
  </si>
  <si>
    <t>顧客管理マンパワー推移2026</t>
    <rPh sb="0" eb="2">
      <t>コキャク</t>
    </rPh>
    <rPh sb="2" eb="4">
      <t>カンリ</t>
    </rPh>
    <rPh sb="9" eb="11">
      <t>スイイ</t>
    </rPh>
    <phoneticPr fontId="2"/>
  </si>
  <si>
    <t>管理担当</t>
    <rPh sb="0" eb="2">
      <t>カンリ</t>
    </rPh>
    <rPh sb="2" eb="4">
      <t>タントウ</t>
    </rPh>
    <phoneticPr fontId="2"/>
  </si>
  <si>
    <t>渡部</t>
    <phoneticPr fontId="2"/>
  </si>
  <si>
    <t>小泉</t>
    <phoneticPr fontId="2"/>
  </si>
  <si>
    <t>宮川</t>
    <phoneticPr fontId="2"/>
  </si>
  <si>
    <t>小川</t>
    <phoneticPr fontId="2"/>
  </si>
  <si>
    <t>八木</t>
    <rPh sb="0" eb="2">
      <t>ヤギ</t>
    </rPh>
    <phoneticPr fontId="2"/>
  </si>
  <si>
    <t>安井</t>
    <phoneticPr fontId="2"/>
  </si>
  <si>
    <t>菅家</t>
    <phoneticPr fontId="2"/>
  </si>
  <si>
    <t>久田</t>
    <phoneticPr fontId="2"/>
  </si>
  <si>
    <t>田中</t>
    <phoneticPr fontId="2"/>
  </si>
  <si>
    <t>栗田</t>
    <phoneticPr fontId="2"/>
  </si>
  <si>
    <t>上田</t>
    <phoneticPr fontId="2"/>
  </si>
  <si>
    <t>宮田</t>
    <rPh sb="0" eb="2">
      <t>ミヤタ</t>
    </rPh>
    <phoneticPr fontId="2"/>
  </si>
  <si>
    <t>藤倉</t>
    <rPh sb="0" eb="2">
      <t>フジクラ</t>
    </rPh>
    <phoneticPr fontId="2"/>
  </si>
  <si>
    <t>根本</t>
    <phoneticPr fontId="2"/>
  </si>
  <si>
    <t>岡部</t>
    <phoneticPr fontId="2"/>
  </si>
  <si>
    <t>間瀬</t>
    <phoneticPr fontId="2"/>
  </si>
  <si>
    <t>芹ケ野</t>
    <phoneticPr fontId="2"/>
  </si>
  <si>
    <t>守友</t>
    <phoneticPr fontId="2"/>
  </si>
  <si>
    <t>外所</t>
    <phoneticPr fontId="2"/>
  </si>
  <si>
    <t>比護</t>
    <phoneticPr fontId="2"/>
  </si>
  <si>
    <t>築地原</t>
    <phoneticPr fontId="2"/>
  </si>
  <si>
    <t>山内</t>
    <phoneticPr fontId="2"/>
  </si>
  <si>
    <t>宮内</t>
    <phoneticPr fontId="2"/>
  </si>
  <si>
    <t>森山</t>
    <phoneticPr fontId="2"/>
  </si>
  <si>
    <t>長谷川</t>
    <rPh sb="0" eb="3">
      <t>ハセガワ</t>
    </rPh>
    <phoneticPr fontId="2"/>
  </si>
  <si>
    <t>熟練度低</t>
    <rPh sb="0" eb="3">
      <t>ジュクレンド</t>
    </rPh>
    <rPh sb="3" eb="4">
      <t>ヒク</t>
    </rPh>
    <phoneticPr fontId="2"/>
  </si>
  <si>
    <t>藤田</t>
    <phoneticPr fontId="2"/>
  </si>
  <si>
    <t>山崎</t>
    <phoneticPr fontId="2"/>
  </si>
  <si>
    <t>受注人数不足</t>
    <rPh sb="0" eb="2">
      <t>ジュチュウ</t>
    </rPh>
    <rPh sb="2" eb="4">
      <t>ニンズウ</t>
    </rPh>
    <rPh sb="4" eb="6">
      <t>ブソク</t>
    </rPh>
    <phoneticPr fontId="2"/>
  </si>
  <si>
    <t>管理人数不足</t>
    <rPh sb="0" eb="2">
      <t>カンリ</t>
    </rPh>
    <rPh sb="2" eb="4">
      <t>ニンズウ</t>
    </rPh>
    <rPh sb="4" eb="6">
      <t>フソク</t>
    </rPh>
    <phoneticPr fontId="2"/>
  </si>
  <si>
    <t>マンパワー推移2026</t>
    <phoneticPr fontId="2"/>
  </si>
  <si>
    <t>社員内訳</t>
    <rPh sb="0" eb="2">
      <t>シャイン</t>
    </rPh>
    <rPh sb="2" eb="4">
      <t>ウチワケ</t>
    </rPh>
    <phoneticPr fontId="2"/>
  </si>
  <si>
    <t>本間</t>
    <rPh sb="0" eb="2">
      <t>ホンマ</t>
    </rPh>
    <phoneticPr fontId="2"/>
  </si>
  <si>
    <t>石原</t>
    <rPh sb="0" eb="2">
      <t>イシハラ</t>
    </rPh>
    <phoneticPr fontId="2"/>
  </si>
  <si>
    <t>派遣</t>
    <rPh sb="0" eb="2">
      <t>ハケン</t>
    </rPh>
    <phoneticPr fontId="2"/>
  </si>
  <si>
    <t>スタッフ内訳</t>
    <rPh sb="4" eb="6">
      <t>ウチワケ</t>
    </rPh>
    <phoneticPr fontId="2"/>
  </si>
  <si>
    <t>今西</t>
    <rPh sb="0" eb="2">
      <t>イマニシ</t>
    </rPh>
    <phoneticPr fontId="2"/>
  </si>
  <si>
    <t>山本</t>
    <rPh sb="0" eb="2">
      <t>ヤマモト</t>
    </rPh>
    <phoneticPr fontId="2"/>
  </si>
  <si>
    <t>三木</t>
    <rPh sb="0" eb="2">
      <t>ミキ</t>
    </rPh>
    <phoneticPr fontId="2"/>
  </si>
  <si>
    <t>佐藤</t>
    <rPh sb="0" eb="2">
      <t>サトウ</t>
    </rPh>
    <phoneticPr fontId="2"/>
  </si>
  <si>
    <t>長濱</t>
    <rPh sb="0" eb="2">
      <t>ナガハマ</t>
    </rPh>
    <phoneticPr fontId="2"/>
  </si>
  <si>
    <t>人事労務</t>
    <rPh sb="0" eb="2">
      <t>ジンジ</t>
    </rPh>
    <rPh sb="2" eb="4">
      <t>ロウム</t>
    </rPh>
    <phoneticPr fontId="2"/>
  </si>
  <si>
    <t>赤坂</t>
    <rPh sb="0" eb="2">
      <t>アカサカ</t>
    </rPh>
    <phoneticPr fontId="2"/>
  </si>
  <si>
    <t>土屋</t>
    <rPh sb="0" eb="2">
      <t>ツチヤ</t>
    </rPh>
    <phoneticPr fontId="2"/>
  </si>
  <si>
    <t>平川</t>
    <rPh sb="0" eb="2">
      <t>ヒラカワ</t>
    </rPh>
    <phoneticPr fontId="2"/>
  </si>
  <si>
    <t>金森</t>
    <rPh sb="0" eb="2">
      <t>カナモリ</t>
    </rPh>
    <phoneticPr fontId="2"/>
  </si>
  <si>
    <t>石井</t>
    <rPh sb="0" eb="2">
      <t>イシイ</t>
    </rPh>
    <phoneticPr fontId="2"/>
  </si>
  <si>
    <t>近藤</t>
    <rPh sb="0" eb="2">
      <t>コンドウ</t>
    </rPh>
    <phoneticPr fontId="2"/>
  </si>
  <si>
    <t>氏家</t>
    <rPh sb="0" eb="2">
      <t>ウジイエ</t>
    </rPh>
    <phoneticPr fontId="2"/>
  </si>
  <si>
    <t>須田</t>
    <rPh sb="0" eb="2">
      <t>スダ</t>
    </rPh>
    <phoneticPr fontId="2"/>
  </si>
  <si>
    <t>安齋</t>
    <rPh sb="0" eb="2">
      <t>アンザイ</t>
    </rPh>
    <phoneticPr fontId="2"/>
  </si>
  <si>
    <t>小澤</t>
    <rPh sb="0" eb="2">
      <t>オザワ</t>
    </rPh>
    <phoneticPr fontId="2"/>
  </si>
  <si>
    <t>池添</t>
    <rPh sb="0" eb="2">
      <t>イケゾエ</t>
    </rPh>
    <phoneticPr fontId="2"/>
  </si>
  <si>
    <t>望月</t>
    <rPh sb="0" eb="2">
      <t>モチヅキ</t>
    </rPh>
    <phoneticPr fontId="2"/>
  </si>
  <si>
    <t>提箸</t>
    <rPh sb="0" eb="2">
      <t>サゲハシ</t>
    </rPh>
    <phoneticPr fontId="2"/>
  </si>
  <si>
    <t>五十嵐登記</t>
    <rPh sb="0" eb="3">
      <t>イガラシ</t>
    </rPh>
    <rPh sb="3" eb="5">
      <t>トウキ</t>
    </rPh>
    <phoneticPr fontId="2"/>
  </si>
  <si>
    <t>五十嵐</t>
    <rPh sb="0" eb="3">
      <t>イガラシ</t>
    </rPh>
    <phoneticPr fontId="2"/>
  </si>
  <si>
    <t>菅沼</t>
    <rPh sb="0" eb="2">
      <t>スガヌマ</t>
    </rPh>
    <phoneticPr fontId="2"/>
  </si>
  <si>
    <t>三嶋</t>
    <rPh sb="0" eb="2">
      <t>ミシマ</t>
    </rPh>
    <phoneticPr fontId="2"/>
  </si>
  <si>
    <t>星野</t>
    <rPh sb="0" eb="1">
      <t>ホシ</t>
    </rPh>
    <rPh sb="1" eb="2">
      <t>ノ</t>
    </rPh>
    <phoneticPr fontId="2"/>
  </si>
  <si>
    <t>髙井</t>
    <rPh sb="0" eb="2">
      <t>タカイ</t>
    </rPh>
    <phoneticPr fontId="2"/>
  </si>
  <si>
    <t>山﨑</t>
    <rPh sb="0" eb="2">
      <t>ヤマザキ</t>
    </rPh>
    <phoneticPr fontId="2"/>
  </si>
  <si>
    <t>大塚</t>
    <rPh sb="0" eb="2">
      <t>オオツカ</t>
    </rPh>
    <phoneticPr fontId="2"/>
  </si>
  <si>
    <t>団野</t>
    <rPh sb="0" eb="2">
      <t>ダンノ</t>
    </rPh>
    <phoneticPr fontId="2"/>
  </si>
  <si>
    <t>飯塚</t>
    <rPh sb="0" eb="2">
      <t>イイヅカ</t>
    </rPh>
    <phoneticPr fontId="2"/>
  </si>
  <si>
    <t>國分</t>
    <rPh sb="0" eb="2">
      <t>コクブン</t>
    </rPh>
    <phoneticPr fontId="2"/>
  </si>
  <si>
    <t>築地原</t>
    <rPh sb="0" eb="3">
      <t>ツイチハラ</t>
    </rPh>
    <phoneticPr fontId="2"/>
  </si>
  <si>
    <t>山内</t>
    <rPh sb="0" eb="2">
      <t>ヤマウチ</t>
    </rPh>
    <phoneticPr fontId="2"/>
  </si>
  <si>
    <t>緒方</t>
    <rPh sb="0" eb="2">
      <t>オガタ</t>
    </rPh>
    <phoneticPr fontId="2"/>
  </si>
  <si>
    <t>上原</t>
    <rPh sb="0" eb="2">
      <t>ウエハラ</t>
    </rPh>
    <phoneticPr fontId="2"/>
  </si>
  <si>
    <t>平野</t>
    <rPh sb="0" eb="2">
      <t>ヒラノ</t>
    </rPh>
    <phoneticPr fontId="2"/>
  </si>
  <si>
    <t>藤田</t>
    <rPh sb="0" eb="2">
      <t>フジタ</t>
    </rPh>
    <phoneticPr fontId="2"/>
  </si>
  <si>
    <t>三品</t>
    <rPh sb="0" eb="2">
      <t>ミシナ</t>
    </rPh>
    <phoneticPr fontId="2"/>
  </si>
  <si>
    <t>杉田</t>
    <rPh sb="0" eb="2">
      <t>スギタ</t>
    </rPh>
    <phoneticPr fontId="2"/>
  </si>
  <si>
    <t>北川</t>
    <rPh sb="0" eb="2">
      <t>キタガワ</t>
    </rPh>
    <phoneticPr fontId="2"/>
  </si>
  <si>
    <t>棚橋</t>
    <rPh sb="0" eb="2">
      <t>タナハシ</t>
    </rPh>
    <phoneticPr fontId="2"/>
  </si>
  <si>
    <t>事務管理マンパワー推移2026</t>
    <rPh sb="0" eb="2">
      <t>ジム</t>
    </rPh>
    <rPh sb="2" eb="4">
      <t>カンリ</t>
    </rPh>
    <rPh sb="9" eb="11">
      <t>スイイ</t>
    </rPh>
    <phoneticPr fontId="2"/>
  </si>
  <si>
    <t>相続スタッフ</t>
    <rPh sb="0" eb="2">
      <t>ソウゾク</t>
    </rPh>
    <phoneticPr fontId="2"/>
  </si>
  <si>
    <t>研修中社員</t>
    <rPh sb="0" eb="3">
      <t>ケンシュウチュウ</t>
    </rPh>
    <rPh sb="3" eb="5">
      <t>シャイン</t>
    </rPh>
    <phoneticPr fontId="2"/>
  </si>
  <si>
    <t>事務管理社員</t>
    <rPh sb="0" eb="2">
      <t>ジム</t>
    </rPh>
    <rPh sb="2" eb="4">
      <t>カンリ</t>
    </rPh>
    <rPh sb="4" eb="6">
      <t>シャイン</t>
    </rPh>
    <phoneticPr fontId="2"/>
  </si>
  <si>
    <t>入江</t>
    <rPh sb="0" eb="2">
      <t>イリエ</t>
    </rPh>
    <phoneticPr fontId="2"/>
  </si>
  <si>
    <t>今野</t>
    <rPh sb="0" eb="2">
      <t>コンノ</t>
    </rPh>
    <phoneticPr fontId="2"/>
  </si>
  <si>
    <t>岡田</t>
    <rPh sb="0" eb="2">
      <t>オカダ</t>
    </rPh>
    <phoneticPr fontId="2"/>
  </si>
  <si>
    <t>大黒</t>
    <rPh sb="0" eb="2">
      <t>オオグロ</t>
    </rPh>
    <phoneticPr fontId="2"/>
  </si>
  <si>
    <t>駒﨑</t>
    <rPh sb="0" eb="2">
      <t>コマザキ</t>
    </rPh>
    <phoneticPr fontId="2"/>
  </si>
  <si>
    <t>本多</t>
    <rPh sb="0" eb="2">
      <t>ホンダ</t>
    </rPh>
    <phoneticPr fontId="2"/>
  </si>
  <si>
    <t>時短B</t>
    <rPh sb="0" eb="2">
      <t>ジタン</t>
    </rPh>
    <phoneticPr fontId="2"/>
  </si>
  <si>
    <t>18時時短A</t>
    <rPh sb="2" eb="3">
      <t>ジ</t>
    </rPh>
    <rPh sb="3" eb="5">
      <t>ジタン</t>
    </rPh>
    <phoneticPr fontId="2"/>
  </si>
  <si>
    <t>時短C</t>
    <rPh sb="0" eb="2">
      <t>ジタン</t>
    </rPh>
    <phoneticPr fontId="2"/>
  </si>
  <si>
    <t>一般職</t>
    <rPh sb="0" eb="2">
      <t>イッパン</t>
    </rPh>
    <rPh sb="2" eb="3">
      <t>ショク</t>
    </rPh>
    <phoneticPr fontId="2"/>
  </si>
  <si>
    <t>米田</t>
    <rPh sb="0" eb="2">
      <t>ヨネダ</t>
    </rPh>
    <phoneticPr fontId="2"/>
  </si>
  <si>
    <t>一般職：158時間</t>
  </si>
  <si>
    <t>時短B ：124時間</t>
  </si>
  <si>
    <t>時短A ：133時間</t>
  </si>
  <si>
    <t>18時時短A：154時間</t>
  </si>
  <si>
    <t>松浦</t>
    <phoneticPr fontId="2"/>
  </si>
  <si>
    <t>鈴木</t>
    <phoneticPr fontId="2"/>
  </si>
  <si>
    <t>北村</t>
    <phoneticPr fontId="2"/>
  </si>
  <si>
    <t>平</t>
    <phoneticPr fontId="2"/>
  </si>
  <si>
    <t>佐田</t>
    <phoneticPr fontId="2"/>
  </si>
  <si>
    <t>正中</t>
    <phoneticPr fontId="2"/>
  </si>
  <si>
    <t>前田</t>
    <phoneticPr fontId="2"/>
  </si>
  <si>
    <t>宮﨑</t>
    <phoneticPr fontId="2"/>
  </si>
  <si>
    <t>関野</t>
    <phoneticPr fontId="2"/>
  </si>
  <si>
    <t>橋本</t>
    <phoneticPr fontId="2"/>
  </si>
  <si>
    <t>岡田</t>
    <phoneticPr fontId="2"/>
  </si>
  <si>
    <t>田代</t>
    <phoneticPr fontId="2"/>
  </si>
  <si>
    <t>横山</t>
    <phoneticPr fontId="2"/>
  </si>
  <si>
    <t>安田</t>
    <phoneticPr fontId="2"/>
  </si>
  <si>
    <t>田村</t>
    <phoneticPr fontId="2"/>
  </si>
  <si>
    <t>星萌</t>
    <phoneticPr fontId="2"/>
  </si>
  <si>
    <t>佐藤</t>
    <phoneticPr fontId="2"/>
  </si>
  <si>
    <t>得能</t>
    <phoneticPr fontId="2"/>
  </si>
  <si>
    <t>3 月～産休</t>
    <rPh sb="2" eb="3">
      <t>ガツ</t>
    </rPh>
    <rPh sb="4" eb="6">
      <t>サンキュウ</t>
    </rPh>
    <phoneticPr fontId="2"/>
  </si>
  <si>
    <t>1月末退職</t>
    <rPh sb="1" eb="2">
      <t>ガツ</t>
    </rPh>
    <rPh sb="2" eb="3">
      <t>マツ</t>
    </rPh>
    <rPh sb="3" eb="5">
      <t>タイショク</t>
    </rPh>
    <phoneticPr fontId="2"/>
  </si>
  <si>
    <t>2月末退職</t>
    <rPh sb="1" eb="2">
      <t>ガツ</t>
    </rPh>
    <rPh sb="2" eb="3">
      <t>マツ</t>
    </rPh>
    <rPh sb="3" eb="5">
      <t>タイショク</t>
    </rPh>
    <phoneticPr fontId="2"/>
  </si>
  <si>
    <t>4月末退職</t>
    <rPh sb="1" eb="2">
      <t>ガツ</t>
    </rPh>
    <rPh sb="2" eb="3">
      <t>マツ</t>
    </rPh>
    <rPh sb="3" eb="5">
      <t>タイショク</t>
    </rPh>
    <phoneticPr fontId="2"/>
  </si>
  <si>
    <t>松下</t>
    <rPh sb="0" eb="2">
      <t>マツシタ</t>
    </rPh>
    <phoneticPr fontId="2"/>
  </si>
  <si>
    <t>綿引</t>
    <rPh sb="0" eb="2">
      <t>ワタビキ</t>
    </rPh>
    <phoneticPr fontId="2"/>
  </si>
  <si>
    <t>26卒</t>
    <rPh sb="2" eb="3">
      <t>ソツ</t>
    </rPh>
    <phoneticPr fontId="2"/>
  </si>
  <si>
    <t>伊東</t>
    <phoneticPr fontId="2"/>
  </si>
  <si>
    <t>平田</t>
    <rPh sb="0" eb="2">
      <t>ヒラタ</t>
    </rPh>
    <phoneticPr fontId="5"/>
  </si>
  <si>
    <t>宮本</t>
    <rPh sb="0" eb="2">
      <t>ミヤモト</t>
    </rPh>
    <phoneticPr fontId="2"/>
  </si>
  <si>
    <t>市川</t>
    <rPh sb="0" eb="2">
      <t>イチカワ</t>
    </rPh>
    <phoneticPr fontId="5"/>
  </si>
  <si>
    <t>登坂</t>
    <rPh sb="0" eb="2">
      <t>トサカ</t>
    </rPh>
    <phoneticPr fontId="5"/>
  </si>
  <si>
    <t>加藤</t>
    <phoneticPr fontId="2"/>
  </si>
  <si>
    <t>藤倉</t>
    <rPh sb="0" eb="2">
      <t>フジクラ</t>
    </rPh>
    <phoneticPr fontId="5"/>
  </si>
  <si>
    <t>鎌田</t>
    <rPh sb="0" eb="2">
      <t>カマタ</t>
    </rPh>
    <phoneticPr fontId="3"/>
  </si>
  <si>
    <t>中田</t>
    <rPh sb="0" eb="2">
      <t>ナカタ</t>
    </rPh>
    <phoneticPr fontId="2"/>
  </si>
  <si>
    <t>渡辺</t>
    <phoneticPr fontId="2"/>
  </si>
  <si>
    <t>坂木</t>
    <phoneticPr fontId="2"/>
  </si>
  <si>
    <t>川本</t>
    <phoneticPr fontId="2"/>
  </si>
  <si>
    <t>佐々木</t>
    <phoneticPr fontId="2"/>
  </si>
  <si>
    <t>坂元</t>
    <phoneticPr fontId="2"/>
  </si>
  <si>
    <t>1Q</t>
    <phoneticPr fontId="2"/>
  </si>
  <si>
    <t>2Q</t>
    <phoneticPr fontId="2"/>
  </si>
  <si>
    <t>3Q</t>
    <phoneticPr fontId="2"/>
  </si>
  <si>
    <t>4Q</t>
    <phoneticPr fontId="2"/>
  </si>
  <si>
    <r>
      <rPr>
        <b/>
        <sz val="7"/>
        <color rgb="FF242424"/>
        <rFont val="ＭＳ ゴシック"/>
        <family val="3"/>
        <charset val="128"/>
      </rPr>
      <t>総合職：</t>
    </r>
    <r>
      <rPr>
        <b/>
        <sz val="7"/>
        <color rgb="FF242424"/>
        <rFont val="Segoe UI"/>
        <family val="2"/>
      </rPr>
      <t>180</t>
    </r>
    <r>
      <rPr>
        <b/>
        <sz val="7"/>
        <color rgb="FF242424"/>
        <rFont val="ＭＳ ゴシック"/>
        <family val="3"/>
        <charset val="128"/>
      </rPr>
      <t>時間</t>
    </r>
    <rPh sb="0" eb="2">
      <t>ソウゴウ</t>
    </rPh>
    <rPh sb="2" eb="3">
      <t>ショク</t>
    </rPh>
    <phoneticPr fontId="2"/>
  </si>
  <si>
    <t>スタッフ労働時間</t>
    <rPh sb="4" eb="6">
      <t>ロウドウ</t>
    </rPh>
    <rPh sb="6" eb="8">
      <t>ジカン</t>
    </rPh>
    <phoneticPr fontId="2"/>
  </si>
  <si>
    <t>杉本</t>
    <rPh sb="0" eb="2">
      <t>スギモト</t>
    </rPh>
    <phoneticPr fontId="2"/>
  </si>
  <si>
    <t>桒原</t>
    <rPh sb="0" eb="2">
      <t>クワハラ</t>
    </rPh>
    <phoneticPr fontId="2"/>
  </si>
  <si>
    <t>リーダーは-30ｈ</t>
    <phoneticPr fontId="2"/>
  </si>
  <si>
    <r>
      <rPr>
        <b/>
        <sz val="7"/>
        <color rgb="FF242424"/>
        <rFont val="ＭＳ Ｐゴシック"/>
        <family val="2"/>
        <charset val="128"/>
      </rPr>
      <t>メンバーは－25</t>
    </r>
    <r>
      <rPr>
        <b/>
        <sz val="7"/>
        <color rgb="FF242424"/>
        <rFont val="Segoe UI"/>
        <family val="2"/>
      </rPr>
      <t>h</t>
    </r>
    <phoneticPr fontId="2"/>
  </si>
  <si>
    <t>※米田さんは事務管理としての稼働ほぼなし</t>
    <rPh sb="1" eb="3">
      <t>ヨネダ</t>
    </rPh>
    <rPh sb="6" eb="8">
      <t>ジム</t>
    </rPh>
    <rPh sb="8" eb="10">
      <t>カンリ</t>
    </rPh>
    <rPh sb="14" eb="16">
      <t>カドウ</t>
    </rPh>
    <phoneticPr fontId="2"/>
  </si>
  <si>
    <t>事務管理（人数）</t>
    <rPh sb="0" eb="2">
      <t>ジム</t>
    </rPh>
    <rPh sb="2" eb="4">
      <t>カンリ</t>
    </rPh>
    <rPh sb="5" eb="7">
      <t>ニンズウ</t>
    </rPh>
    <phoneticPr fontId="2"/>
  </si>
  <si>
    <t>相続スタッフ（人数）</t>
    <rPh sb="0" eb="2">
      <t>ソウゾク</t>
    </rPh>
    <phoneticPr fontId="2"/>
  </si>
  <si>
    <t>事務管理＋スタッフ</t>
    <rPh sb="0" eb="2">
      <t>ジム</t>
    </rPh>
    <rPh sb="2" eb="4">
      <t>カンリ</t>
    </rPh>
    <phoneticPr fontId="2"/>
  </si>
  <si>
    <t>総労働時間</t>
    <rPh sb="0" eb="1">
      <t>ソウ</t>
    </rPh>
    <rPh sb="1" eb="3">
      <t>ロウドウ</t>
    </rPh>
    <rPh sb="3" eb="5">
      <t>ジカン</t>
    </rPh>
    <phoneticPr fontId="2"/>
  </si>
  <si>
    <t>26卒（人数）</t>
    <rPh sb="2" eb="3">
      <t>ソツ</t>
    </rPh>
    <rPh sb="4" eb="6">
      <t>ニンズウ</t>
    </rPh>
    <phoneticPr fontId="2"/>
  </si>
  <si>
    <t>研修中社員（人数）</t>
    <phoneticPr fontId="2"/>
  </si>
  <si>
    <t>インターン（人数）</t>
    <phoneticPr fontId="2"/>
  </si>
  <si>
    <t>流動人員 労働時間</t>
    <rPh sb="0" eb="2">
      <t>リュウドウ</t>
    </rPh>
    <rPh sb="2" eb="4">
      <t>ジンイン</t>
    </rPh>
    <rPh sb="5" eb="7">
      <t>ロウドウ</t>
    </rPh>
    <rPh sb="7" eb="9">
      <t>ジカン</t>
    </rPh>
    <phoneticPr fontId="2"/>
  </si>
  <si>
    <t>事務管理総数</t>
    <rPh sb="0" eb="2">
      <t>ジム</t>
    </rPh>
    <rPh sb="2" eb="4">
      <t>カンリ</t>
    </rPh>
    <rPh sb="4" eb="5">
      <t>ソウ</t>
    </rPh>
    <phoneticPr fontId="2"/>
  </si>
  <si>
    <t>流動人員</t>
    <rPh sb="0" eb="2">
      <t>リュウドウ</t>
    </rPh>
    <rPh sb="2" eb="4">
      <t>ジンイン</t>
    </rPh>
    <phoneticPr fontId="2"/>
  </si>
  <si>
    <t>社員＋スタッフ</t>
    <rPh sb="0" eb="2">
      <t>シャイン</t>
    </rPh>
    <phoneticPr fontId="2"/>
  </si>
  <si>
    <t>総数</t>
    <rPh sb="0" eb="2">
      <t>ソウスウ</t>
    </rPh>
    <phoneticPr fontId="2"/>
  </si>
  <si>
    <t>面談総数</t>
    <rPh sb="0" eb="2">
      <t>メンダン</t>
    </rPh>
    <rPh sb="2" eb="4">
      <t>ソウスウ</t>
    </rPh>
    <phoneticPr fontId="2"/>
  </si>
  <si>
    <t>竹内</t>
    <rPh sb="0" eb="2">
      <t>タケウチ</t>
    </rPh>
    <phoneticPr fontId="2"/>
  </si>
  <si>
    <t>登記Tへ?</t>
    <rPh sb="0" eb="2">
      <t>トウキ</t>
    </rPh>
    <phoneticPr fontId="2"/>
  </si>
  <si>
    <t>最多面談数</t>
    <rPh sb="0" eb="2">
      <t>サイタ</t>
    </rPh>
    <rPh sb="2" eb="4">
      <t>メンダン</t>
    </rPh>
    <rPh sb="4" eb="5">
      <t>スウ</t>
    </rPh>
    <phoneticPr fontId="2"/>
  </si>
  <si>
    <t>森下</t>
    <rPh sb="0" eb="2">
      <t>モリシタ</t>
    </rPh>
    <phoneticPr fontId="2"/>
  </si>
  <si>
    <t>齋藤さん分
+20件要調整</t>
    <rPh sb="0" eb="2">
      <t>サイトウ</t>
    </rPh>
    <rPh sb="4" eb="5">
      <t>ブン</t>
    </rPh>
    <rPh sb="9" eb="10">
      <t>ケン</t>
    </rPh>
    <rPh sb="10" eb="11">
      <t>ヨウ</t>
    </rPh>
    <rPh sb="11" eb="13">
      <t>チョウセイ</t>
    </rPh>
    <phoneticPr fontId="2"/>
  </si>
  <si>
    <t>個別面談件数</t>
    <rPh sb="0" eb="2">
      <t>コベツ</t>
    </rPh>
    <rPh sb="2" eb="4">
      <t>メンダン</t>
    </rPh>
    <rPh sb="4" eb="6">
      <t>ケンスウ</t>
    </rPh>
    <phoneticPr fontId="2"/>
  </si>
  <si>
    <t>熟練度</t>
    <rPh sb="0" eb="3">
      <t>ジュクレンド</t>
    </rPh>
    <phoneticPr fontId="2"/>
  </si>
  <si>
    <t>管理件数</t>
    <rPh sb="0" eb="2">
      <t>カンリ</t>
    </rPh>
    <rPh sb="2" eb="4">
      <t>ケンスウ</t>
    </rPh>
    <phoneticPr fontId="2"/>
  </si>
  <si>
    <t>相続以外</t>
    <rPh sb="0" eb="2">
      <t>ソウゾク</t>
    </rPh>
    <rPh sb="2" eb="4">
      <t>イガイ</t>
    </rPh>
    <phoneticPr fontId="2"/>
  </si>
  <si>
    <t>井澤</t>
    <rPh sb="0" eb="2">
      <t>イザワ</t>
    </rPh>
    <phoneticPr fontId="2"/>
  </si>
  <si>
    <t>馬場T</t>
    <rPh sb="0" eb="2">
      <t>ババ</t>
    </rPh>
    <phoneticPr fontId="2"/>
  </si>
  <si>
    <t>藤沢</t>
    <rPh sb="0" eb="2">
      <t>フジサワ</t>
    </rPh>
    <phoneticPr fontId="2"/>
  </si>
  <si>
    <t>200h</t>
    <phoneticPr fontId="2"/>
  </si>
  <si>
    <t>165h</t>
    <phoneticPr fontId="2"/>
  </si>
  <si>
    <t>130h</t>
    <phoneticPr fontId="2"/>
  </si>
  <si>
    <t>守友</t>
    <rPh sb="0" eb="1">
      <t>マモ</t>
    </rPh>
    <rPh sb="1" eb="2">
      <t>トモ</t>
    </rPh>
    <phoneticPr fontId="2"/>
  </si>
  <si>
    <t>100h</t>
    <phoneticPr fontId="2"/>
  </si>
  <si>
    <t>外所</t>
    <rPh sb="0" eb="2">
      <t>トドコロ</t>
    </rPh>
    <phoneticPr fontId="2"/>
  </si>
  <si>
    <t>渡邉T</t>
    <rPh sb="0" eb="2">
      <t>ワタナベ</t>
    </rPh>
    <phoneticPr fontId="2"/>
  </si>
  <si>
    <t>山田T</t>
    <rPh sb="0" eb="2">
      <t>ヤマダ</t>
    </rPh>
    <phoneticPr fontId="2"/>
  </si>
  <si>
    <t>安井</t>
    <rPh sb="0" eb="2">
      <t>ヤスイ</t>
    </rPh>
    <phoneticPr fontId="2"/>
  </si>
  <si>
    <t>間瀬</t>
    <rPh sb="0" eb="2">
      <t>マセ</t>
    </rPh>
    <phoneticPr fontId="2"/>
  </si>
  <si>
    <t>田中</t>
    <rPh sb="0" eb="2">
      <t>タナカ</t>
    </rPh>
    <phoneticPr fontId="2"/>
  </si>
  <si>
    <t>新井T</t>
    <rPh sb="0" eb="2">
      <t>アライ</t>
    </rPh>
    <phoneticPr fontId="2"/>
  </si>
  <si>
    <t>岡部</t>
    <rPh sb="0" eb="2">
      <t>オカベ</t>
    </rPh>
    <phoneticPr fontId="2"/>
  </si>
  <si>
    <t>担当者名</t>
    <rPh sb="0" eb="3">
      <t>タントウシャ</t>
    </rPh>
    <rPh sb="3" eb="4">
      <t>メイ</t>
    </rPh>
    <phoneticPr fontId="2"/>
  </si>
  <si>
    <t>稼働時間</t>
    <rPh sb="0" eb="2">
      <t>カドウ</t>
    </rPh>
    <rPh sb="2" eb="4">
      <t>ジカン</t>
    </rPh>
    <phoneticPr fontId="2"/>
  </si>
  <si>
    <t>相続</t>
    <rPh sb="0" eb="2">
      <t>ソウゾク</t>
    </rPh>
    <phoneticPr fontId="2"/>
  </si>
  <si>
    <t>事務管理
管理</t>
    <rPh sb="0" eb="2">
      <t>ジム</t>
    </rPh>
    <rPh sb="2" eb="4">
      <t>カンリ</t>
    </rPh>
    <rPh sb="5" eb="7">
      <t>カンリ</t>
    </rPh>
    <phoneticPr fontId="2"/>
  </si>
  <si>
    <t>4階</t>
    <rPh sb="1" eb="2">
      <t>カイ</t>
    </rPh>
    <phoneticPr fontId="2"/>
  </si>
  <si>
    <t>福元</t>
    <rPh sb="0" eb="2">
      <t>フクモト</t>
    </rPh>
    <phoneticPr fontId="2"/>
  </si>
  <si>
    <t>福岡</t>
    <rPh sb="0" eb="2">
      <t>フクオカ</t>
    </rPh>
    <phoneticPr fontId="2"/>
  </si>
  <si>
    <t>平田</t>
    <rPh sb="0" eb="2">
      <t>ヒラタ</t>
    </rPh>
    <phoneticPr fontId="2"/>
  </si>
  <si>
    <t>全体</t>
    <rPh sb="0" eb="2">
      <t>ゼンタイ</t>
    </rPh>
    <phoneticPr fontId="2"/>
  </si>
  <si>
    <t>菅家</t>
    <rPh sb="0" eb="2">
      <t>カンケ</t>
    </rPh>
    <phoneticPr fontId="2"/>
  </si>
  <si>
    <t>荻野</t>
    <rPh sb="0" eb="2">
      <t>オギノ</t>
    </rPh>
    <phoneticPr fontId="2"/>
  </si>
  <si>
    <t>渡辺</t>
    <rPh sb="0" eb="2">
      <t>ワタナベ</t>
    </rPh>
    <phoneticPr fontId="2"/>
  </si>
  <si>
    <t>実働</t>
    <rPh sb="0" eb="2">
      <t>ジツドウ</t>
    </rPh>
    <phoneticPr fontId="2"/>
  </si>
  <si>
    <t>×熟練度</t>
    <rPh sb="1" eb="4">
      <t>ジュクレンド</t>
    </rPh>
    <phoneticPr fontId="2"/>
  </si>
  <si>
    <t>小泉</t>
    <rPh sb="0" eb="2">
      <t>コイズミ</t>
    </rPh>
    <phoneticPr fontId="2"/>
  </si>
  <si>
    <t>宮内</t>
    <rPh sb="0" eb="2">
      <t>ミヤウチ</t>
    </rPh>
    <phoneticPr fontId="2"/>
  </si>
  <si>
    <t>森山</t>
    <rPh sb="0" eb="2">
      <t>モリヤマ</t>
    </rPh>
    <phoneticPr fontId="2"/>
  </si>
  <si>
    <t>氏名</t>
    <rPh sb="0" eb="2">
      <t>シメイ</t>
    </rPh>
    <phoneticPr fontId="2"/>
  </si>
  <si>
    <t>稼働</t>
    <rPh sb="0" eb="2">
      <t>カドウ</t>
    </rPh>
    <phoneticPr fontId="2"/>
  </si>
  <si>
    <t>相続の管理件数分マイナス</t>
    <rPh sb="0" eb="2">
      <t>ソウゾク</t>
    </rPh>
    <rPh sb="3" eb="5">
      <t>カンリ</t>
    </rPh>
    <rPh sb="5" eb="7">
      <t>ケンスウ</t>
    </rPh>
    <rPh sb="7" eb="8">
      <t>ブン</t>
    </rPh>
    <phoneticPr fontId="2"/>
  </si>
  <si>
    <r>
      <t>売上目標</t>
    </r>
    <r>
      <rPr>
        <b/>
        <sz val="6"/>
        <color theme="0"/>
        <rFont val="游ゴシック"/>
        <family val="3"/>
        <charset val="128"/>
        <scheme val="minor"/>
      </rPr>
      <t>（士業必達）</t>
    </r>
    <rPh sb="0" eb="2">
      <t>ウリアゲ</t>
    </rPh>
    <rPh sb="2" eb="4">
      <t>モクヒョウ</t>
    </rPh>
    <rPh sb="5" eb="7">
      <t>シギョウ</t>
    </rPh>
    <rPh sb="7" eb="9">
      <t>ヒッタツ</t>
    </rPh>
    <phoneticPr fontId="2"/>
  </si>
  <si>
    <r>
      <t>売上目標</t>
    </r>
    <r>
      <rPr>
        <b/>
        <sz val="6"/>
        <color theme="0"/>
        <rFont val="游ゴシック"/>
        <family val="3"/>
        <charset val="128"/>
        <scheme val="minor"/>
      </rPr>
      <t>（士業C）</t>
    </r>
    <rPh sb="0" eb="2">
      <t>ウリアゲ</t>
    </rPh>
    <rPh sb="2" eb="4">
      <t>モクヒョウ</t>
    </rPh>
    <rPh sb="5" eb="7">
      <t>シギョウ</t>
    </rPh>
    <phoneticPr fontId="2"/>
  </si>
  <si>
    <t>熟練度平均</t>
    <rPh sb="0" eb="3">
      <t>ジュクレンド</t>
    </rPh>
    <rPh sb="3" eb="5">
      <t>ヘイキン</t>
    </rPh>
    <phoneticPr fontId="2"/>
  </si>
  <si>
    <t>実働×熟</t>
    <rPh sb="0" eb="2">
      <t>ジツドウ</t>
    </rPh>
    <rPh sb="3" eb="4">
      <t>ジュク</t>
    </rPh>
    <phoneticPr fontId="2"/>
  </si>
  <si>
    <t>合計人数</t>
    <rPh sb="0" eb="2">
      <t>ゴウケイ</t>
    </rPh>
    <rPh sb="2" eb="4">
      <t>ニンズウ</t>
    </rPh>
    <phoneticPr fontId="2"/>
  </si>
  <si>
    <t>実働時間</t>
    <rPh sb="0" eb="2">
      <t>ジツドウ</t>
    </rPh>
    <rPh sb="2" eb="4">
      <t>ジカン</t>
    </rPh>
    <phoneticPr fontId="2"/>
  </si>
  <si>
    <t>相続対応</t>
    <rPh sb="0" eb="2">
      <t>ソウゾク</t>
    </rPh>
    <rPh sb="2" eb="4">
      <t>タイオウ</t>
    </rPh>
    <phoneticPr fontId="2"/>
  </si>
  <si>
    <t>実働×熟練度</t>
    <rPh sb="0" eb="2">
      <t>ジツドウ</t>
    </rPh>
    <rPh sb="3" eb="6">
      <t>ジュクレンド</t>
    </rPh>
    <phoneticPr fontId="2"/>
  </si>
  <si>
    <t>五十嵐
T</t>
    <rPh sb="0" eb="3">
      <t>イガラシ</t>
    </rPh>
    <phoneticPr fontId="2"/>
  </si>
  <si>
    <t>久田</t>
    <rPh sb="0" eb="2">
      <t>ヒサダ</t>
    </rPh>
    <phoneticPr fontId="2"/>
  </si>
  <si>
    <t>受注
候補</t>
    <rPh sb="0" eb="2">
      <t>ジュチュウ</t>
    </rPh>
    <rPh sb="3" eb="5">
      <t>コウホ</t>
    </rPh>
    <phoneticPr fontId="2"/>
  </si>
  <si>
    <t>合計案件数</t>
    <rPh sb="0" eb="2">
      <t>ゴウケイ</t>
    </rPh>
    <rPh sb="2" eb="4">
      <t>アンケン</t>
    </rPh>
    <rPh sb="4" eb="5">
      <t>スウ</t>
    </rPh>
    <phoneticPr fontId="2"/>
  </si>
  <si>
    <t>担当者数</t>
    <rPh sb="0" eb="2">
      <t>タントウ</t>
    </rPh>
    <rPh sb="2" eb="3">
      <t>シャ</t>
    </rPh>
    <rPh sb="3" eb="4">
      <t>スウ</t>
    </rPh>
    <phoneticPr fontId="2"/>
  </si>
  <si>
    <t>LPマンパワー推移2026</t>
    <rPh sb="7" eb="9">
      <t>スイイ</t>
    </rPh>
    <phoneticPr fontId="2"/>
  </si>
  <si>
    <t>芹ケ野</t>
    <rPh sb="0" eb="3">
      <t>セリガノ</t>
    </rPh>
    <phoneticPr fontId="2"/>
  </si>
  <si>
    <t>比護</t>
    <rPh sb="0" eb="2">
      <t>ヒゴ</t>
    </rPh>
    <phoneticPr fontId="2"/>
  </si>
  <si>
    <t>中釜</t>
    <rPh sb="0" eb="2">
      <t>ナカガマ</t>
    </rPh>
    <phoneticPr fontId="2"/>
  </si>
  <si>
    <t>総稼働時間</t>
    <rPh sb="0" eb="1">
      <t>ソウ</t>
    </rPh>
    <rPh sb="1" eb="3">
      <t>カドウ</t>
    </rPh>
    <rPh sb="3" eb="5">
      <t>ジカン</t>
    </rPh>
    <phoneticPr fontId="2"/>
  </si>
  <si>
    <t>架電以外</t>
    <rPh sb="0" eb="2">
      <t>カデン</t>
    </rPh>
    <rPh sb="2" eb="4">
      <t>イガイ</t>
    </rPh>
    <phoneticPr fontId="2"/>
  </si>
  <si>
    <t>架電</t>
    <rPh sb="0" eb="2">
      <t>カデン</t>
    </rPh>
    <phoneticPr fontId="2"/>
  </si>
  <si>
    <t>酒井</t>
    <rPh sb="0" eb="2">
      <t>サカイ</t>
    </rPh>
    <phoneticPr fontId="2"/>
  </si>
  <si>
    <t>相続事業部</t>
    <rPh sb="0" eb="2">
      <t>ソウゾク</t>
    </rPh>
    <rPh sb="2" eb="4">
      <t>ジギョウ</t>
    </rPh>
    <rPh sb="4" eb="5">
      <t>ブ</t>
    </rPh>
    <phoneticPr fontId="2"/>
  </si>
  <si>
    <t>※3人で1カウント</t>
    <rPh sb="2" eb="3">
      <t>ニン</t>
    </rPh>
    <phoneticPr fontId="2"/>
  </si>
  <si>
    <t>※4人で1カウント</t>
    <rPh sb="2" eb="3">
      <t>ニン</t>
    </rPh>
    <phoneticPr fontId="2"/>
  </si>
  <si>
    <t>小川</t>
    <rPh sb="0" eb="2">
      <t>オガワ</t>
    </rPh>
    <phoneticPr fontId="2"/>
  </si>
  <si>
    <t>齋藤さん分</t>
  </si>
  <si>
    <t>単独デビュー後→黒字</t>
    <rPh sb="0" eb="2">
      <t>タンドク</t>
    </rPh>
    <rPh sb="6" eb="7">
      <t>ゴ</t>
    </rPh>
    <rPh sb="8" eb="9">
      <t>クロ</t>
    </rPh>
    <rPh sb="9" eb="10">
      <t>ジ</t>
    </rPh>
    <phoneticPr fontId="2"/>
  </si>
  <si>
    <t>※受注としてのカウント無</t>
    <rPh sb="1" eb="3">
      <t>ジュチュウ</t>
    </rPh>
    <rPh sb="11" eb="12">
      <t>ナシ</t>
    </rPh>
    <phoneticPr fontId="2"/>
  </si>
  <si>
    <t>受注同席あり→青字</t>
    <rPh sb="0" eb="2">
      <t>ジュチュウ</t>
    </rPh>
    <rPh sb="2" eb="4">
      <t>ドウセキ</t>
    </rPh>
    <rPh sb="7" eb="9">
      <t>アオジ</t>
    </rPh>
    <phoneticPr fontId="2"/>
  </si>
  <si>
    <t>平均面談総数</t>
    <rPh sb="0" eb="2">
      <t>ヘイキン</t>
    </rPh>
    <rPh sb="2" eb="4">
      <t>メンダン</t>
    </rPh>
    <rPh sb="4" eb="6">
      <t>ソウスウ</t>
    </rPh>
    <phoneticPr fontId="2"/>
  </si>
  <si>
    <t>★受注デビュー後も1年間はWEB経由の面談に月1～2件同席し、そのまま管理として担当する方針</t>
    <rPh sb="1" eb="3">
      <t>ジュチュウ</t>
    </rPh>
    <rPh sb="7" eb="8">
      <t>ゴ</t>
    </rPh>
    <rPh sb="10" eb="11">
      <t>ネン</t>
    </rPh>
    <rPh sb="11" eb="12">
      <t>カン</t>
    </rPh>
    <rPh sb="16" eb="18">
      <t>ケイユ</t>
    </rPh>
    <rPh sb="19" eb="21">
      <t>メンダン</t>
    </rPh>
    <rPh sb="22" eb="23">
      <t>ツキ</t>
    </rPh>
    <rPh sb="26" eb="27">
      <t>ケン</t>
    </rPh>
    <rPh sb="27" eb="29">
      <t>ドウセキ</t>
    </rPh>
    <rPh sb="35" eb="37">
      <t>カンリ</t>
    </rPh>
    <rPh sb="40" eb="42">
      <t>タントウ</t>
    </rPh>
    <rPh sb="44" eb="46">
      <t>ホウシン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</si>
</sst>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¥&quot;#,##0;[Red]&quot;¥&quot;\-#,##0"/>
    <numFmt numFmtId="176" formatCode="0_ ;[Red]\-0\ "/>
    <numFmt numFmtId="177" formatCode="\+0;[Red]\-0;0"/>
    <numFmt numFmtId="178" formatCode="\+0;[Red]\-0;0\ "/>
    <numFmt numFmtId="179" formatCode="General&quot;h&quot;"/>
    <numFmt numFmtId="180" formatCode="General&quot;人&quot;"/>
    <numFmt numFmtId="181" formatCode="General&quot;件&quot;"/>
    <numFmt numFmtId="182" formatCode="#,##0_);[Red]\(#,##0\)"/>
  </numFmts>
  <fonts count="55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0"/>
      <color theme="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8"/>
      <color theme="0"/>
      <name val="游ゴシック"/>
      <family val="3"/>
      <charset val="128"/>
      <scheme val="minor"/>
    </font>
    <font>
      <sz val="9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0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7"/>
      <color theme="1"/>
      <name val="游ゴシック"/>
      <family val="3"/>
      <charset val="128"/>
      <scheme val="minor"/>
    </font>
    <font>
      <sz val="7"/>
      <name val="游ゴシック"/>
      <family val="3"/>
      <charset val="128"/>
      <scheme val="minor"/>
    </font>
    <font>
      <sz val="7"/>
      <color theme="1"/>
      <name val="游ゴシック"/>
      <family val="2"/>
      <charset val="128"/>
      <scheme val="minor"/>
    </font>
    <font>
      <b/>
      <sz val="8"/>
      <color rgb="FF0070C0"/>
      <name val="游ゴシック"/>
      <family val="3"/>
      <charset val="128"/>
      <scheme val="minor"/>
    </font>
    <font>
      <b/>
      <sz val="10"/>
      <color theme="0"/>
      <name val="游ゴシック"/>
      <family val="3"/>
      <charset val="128"/>
      <scheme val="minor"/>
    </font>
    <font>
      <b/>
      <sz val="8"/>
      <color theme="0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6"/>
      <color theme="4" tint="-0.249977111117893"/>
      <name val="游ゴシック"/>
      <family val="3"/>
      <charset val="128"/>
      <scheme val="minor"/>
    </font>
    <font>
      <sz val="7"/>
      <color rgb="FF242424"/>
      <name val="Segoe UI"/>
      <family val="2"/>
    </font>
    <font>
      <b/>
      <sz val="9"/>
      <color theme="4" tint="-0.249977111117893"/>
      <name val="游ゴシック"/>
      <family val="3"/>
      <charset val="128"/>
      <scheme val="minor"/>
    </font>
    <font>
      <b/>
      <sz val="11"/>
      <color theme="4" tint="-0.249977111117893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7"/>
      <color rgb="FF242424"/>
      <name val="Segoe UI"/>
      <family val="3"/>
      <charset val="128"/>
    </font>
    <font>
      <b/>
      <sz val="7"/>
      <color rgb="FF242424"/>
      <name val="ＭＳ ゴシック"/>
      <family val="3"/>
      <charset val="128"/>
    </font>
    <font>
      <b/>
      <sz val="7"/>
      <color rgb="FF242424"/>
      <name val="Segoe UI"/>
      <family val="2"/>
    </font>
    <font>
      <sz val="10"/>
      <color theme="1"/>
      <name val="游ゴシック"/>
      <family val="3"/>
      <charset val="128"/>
      <scheme val="minor"/>
    </font>
    <font>
      <b/>
      <sz val="6"/>
      <color theme="0"/>
      <name val="游ゴシック"/>
      <family val="3"/>
      <charset val="128"/>
      <scheme val="minor"/>
    </font>
    <font>
      <b/>
      <sz val="7"/>
      <color rgb="FF242424"/>
      <name val="ＭＳ Ｐゴシック"/>
      <family val="3"/>
      <charset val="128"/>
    </font>
    <font>
      <b/>
      <sz val="7"/>
      <color rgb="FF242424"/>
      <name val="ＭＳ Ｐゴシック"/>
      <family val="2"/>
      <charset val="128"/>
    </font>
    <font>
      <b/>
      <sz val="7"/>
      <color rgb="FF242424"/>
      <name val="Segoe UI"/>
      <family val="2"/>
      <charset val="128"/>
    </font>
    <font>
      <sz val="10"/>
      <color theme="1"/>
      <name val="游ゴシック"/>
      <family val="2"/>
      <charset val="128"/>
      <scheme val="minor"/>
    </font>
    <font>
      <b/>
      <sz val="6"/>
      <color theme="1"/>
      <name val="游ゴシック"/>
      <family val="3"/>
      <charset val="128"/>
      <scheme val="minor"/>
    </font>
    <font>
      <b/>
      <sz val="7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b/>
      <sz val="6"/>
      <color rgb="FF0070C0"/>
      <name val="游ゴシック"/>
      <family val="3"/>
      <charset val="128"/>
      <scheme val="minor"/>
    </font>
    <font>
      <b/>
      <sz val="10"/>
      <color rgb="FF0070C0"/>
      <name val="游ゴシック"/>
      <family val="3"/>
      <charset val="128"/>
      <scheme val="minor"/>
    </font>
    <font>
      <b/>
      <sz val="5"/>
      <color theme="0"/>
      <name val="游ゴシック"/>
      <family val="3"/>
      <charset val="128"/>
      <scheme val="minor"/>
    </font>
    <font>
      <sz val="9"/>
      <color theme="0"/>
      <name val="游ゴシック"/>
      <family val="2"/>
      <charset val="128"/>
      <scheme val="minor"/>
    </font>
    <font>
      <b/>
      <sz val="6"/>
      <color theme="4"/>
      <name val="游ゴシック"/>
      <family val="3"/>
      <charset val="128"/>
      <scheme val="minor"/>
    </font>
    <font>
      <b/>
      <sz val="6"/>
      <color rgb="FFFF0000"/>
      <name val="游ゴシック"/>
      <family val="3"/>
      <charset val="128"/>
      <scheme val="minor"/>
    </font>
    <font>
      <b/>
      <sz val="7"/>
      <color rgb="FFFF0000"/>
      <name val="游ゴシック"/>
      <family val="3"/>
      <charset val="128"/>
      <scheme val="minor"/>
    </font>
    <font>
      <b/>
      <sz val="7"/>
      <color rgb="FF0070C0"/>
      <name val="游ゴシック"/>
      <family val="3"/>
      <charset val="128"/>
      <scheme val="minor"/>
    </font>
    <font>
      <b/>
      <sz val="9"/>
      <color rgb="FFFF0000"/>
      <name val="游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medium">
        <color rgb="FF0070C0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medium">
        <color rgb="FF0070C0"/>
      </top>
      <bottom style="medium">
        <color rgb="FF0070C0"/>
      </bottom>
      <diagonal/>
    </border>
    <border>
      <left style="thin">
        <color indexed="64"/>
      </left>
      <right/>
      <top style="medium">
        <color rgb="FF0070C0"/>
      </top>
      <bottom style="medium">
        <color rgb="FF0070C0"/>
      </bottom>
      <diagonal/>
    </border>
    <border>
      <left/>
      <right style="thin">
        <color indexed="64"/>
      </right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rgb="FF0070C0"/>
      </bottom>
      <diagonal/>
    </border>
    <border>
      <left/>
      <right/>
      <top style="thin">
        <color indexed="64"/>
      </top>
      <bottom style="medium">
        <color rgb="FF0070C0"/>
      </bottom>
      <diagonal/>
    </border>
    <border>
      <left/>
      <right style="thin">
        <color indexed="64"/>
      </right>
      <top style="thin">
        <color indexed="64"/>
      </top>
      <bottom style="medium">
        <color rgb="FF0070C0"/>
      </bottom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6" fontId="14" fillId="0" borderId="0" applyFont="0" applyFill="0" applyBorder="0" applyAlignment="0" applyProtection="0">
      <alignment vertical="center"/>
    </xf>
    <xf numFmtId="6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</cellStyleXfs>
  <cellXfs count="40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3" borderId="0" xfId="0" applyFont="1" applyFill="1">
      <alignment vertical="center"/>
    </xf>
    <xf numFmtId="0" fontId="11" fillId="0" borderId="0" xfId="0" applyFont="1">
      <alignment vertical="center"/>
    </xf>
    <xf numFmtId="176" fontId="1" fillId="2" borderId="1" xfId="1" applyNumberFormat="1" applyBorder="1" applyAlignment="1">
      <alignment horizontal="center" vertical="center"/>
    </xf>
    <xf numFmtId="176" fontId="5" fillId="2" borderId="1" xfId="1" applyNumberFormat="1" applyFont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11" fillId="4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vertical="center" wrapText="1"/>
    </xf>
    <xf numFmtId="176" fontId="12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0" fillId="0" borderId="0" xfId="0" applyNumberFormat="1">
      <alignment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10" fillId="5" borderId="4" xfId="0" applyNumberFormat="1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55" fontId="0" fillId="0" borderId="0" xfId="0" applyNumberFormat="1">
      <alignment vertical="center"/>
    </xf>
    <xf numFmtId="176" fontId="8" fillId="5" borderId="4" xfId="0" applyNumberFormat="1" applyFont="1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3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6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5" fillId="3" borderId="0" xfId="0" applyFont="1" applyFill="1">
      <alignment vertical="center"/>
    </xf>
    <xf numFmtId="176" fontId="0" fillId="7" borderId="1" xfId="0" applyNumberFormat="1" applyFill="1" applyBorder="1" applyAlignment="1">
      <alignment horizontal="center" vertical="center"/>
    </xf>
    <xf numFmtId="176" fontId="6" fillId="7" borderId="1" xfId="0" applyNumberFormat="1" applyFont="1" applyFill="1" applyBorder="1" applyAlignment="1">
      <alignment horizontal="center" vertical="center"/>
    </xf>
    <xf numFmtId="176" fontId="17" fillId="5" borderId="1" xfId="0" applyNumberFormat="1" applyFont="1" applyFill="1" applyBorder="1" applyAlignment="1">
      <alignment horizontal="center" vertical="center"/>
    </xf>
    <xf numFmtId="176" fontId="10" fillId="5" borderId="10" xfId="0" applyNumberFormat="1" applyFont="1" applyFill="1" applyBorder="1" applyAlignment="1">
      <alignment horizontal="center" vertical="center"/>
    </xf>
    <xf numFmtId="176" fontId="3" fillId="0" borderId="6" xfId="0" applyNumberFormat="1" applyFont="1" applyBorder="1" applyAlignment="1">
      <alignment horizontal="left" vertical="top" wrapText="1"/>
    </xf>
    <xf numFmtId="176" fontId="3" fillId="0" borderId="6" xfId="0" applyNumberFormat="1" applyFont="1" applyBorder="1" applyAlignment="1">
      <alignment horizontal="left" vertical="top"/>
    </xf>
    <xf numFmtId="176" fontId="3" fillId="0" borderId="0" xfId="0" applyNumberFormat="1" applyFont="1" applyAlignment="1">
      <alignment horizontal="center" vertical="top" wrapText="1"/>
    </xf>
    <xf numFmtId="176" fontId="8" fillId="5" borderId="1" xfId="0" applyNumberFormat="1" applyFont="1" applyFill="1" applyBorder="1">
      <alignment vertical="center"/>
    </xf>
    <xf numFmtId="176" fontId="3" fillId="0" borderId="6" xfId="0" applyNumberFormat="1" applyFont="1" applyBorder="1" applyAlignment="1">
      <alignment vertical="top" wrapText="1"/>
    </xf>
    <xf numFmtId="176" fontId="3" fillId="0" borderId="6" xfId="0" applyNumberFormat="1" applyFont="1" applyBorder="1" applyAlignment="1">
      <alignment vertical="top"/>
    </xf>
    <xf numFmtId="0" fontId="18" fillId="0" borderId="0" xfId="0" applyFont="1">
      <alignment vertical="center"/>
    </xf>
    <xf numFmtId="0" fontId="8" fillId="0" borderId="0" xfId="0" applyFont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4" fillId="0" borderId="0" xfId="0" applyFont="1">
      <alignment vertical="center"/>
    </xf>
    <xf numFmtId="0" fontId="20" fillId="8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9" fillId="6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19" fillId="0" borderId="9" xfId="0" applyFont="1" applyBorder="1" applyAlignment="1">
      <alignment horizontal="center" vertical="center"/>
    </xf>
    <xf numFmtId="0" fontId="19" fillId="10" borderId="9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39" fillId="0" borderId="24" xfId="0" applyFont="1" applyBorder="1" applyAlignment="1">
      <alignment horizontal="center"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11" fillId="3" borderId="0" xfId="0" applyFont="1" applyFill="1" applyAlignment="1">
      <alignment horizontal="center" vertical="center"/>
    </xf>
    <xf numFmtId="176" fontId="5" fillId="2" borderId="10" xfId="1" applyNumberFormat="1" applyFont="1" applyBorder="1" applyAlignment="1">
      <alignment horizontal="center" vertical="center"/>
    </xf>
    <xf numFmtId="176" fontId="17" fillId="2" borderId="11" xfId="1" applyNumberFormat="1" applyFont="1" applyBorder="1" applyAlignment="1">
      <alignment horizontal="center" vertical="center"/>
    </xf>
    <xf numFmtId="0" fontId="19" fillId="10" borderId="1" xfId="0" applyFont="1" applyFill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176" fontId="10" fillId="2" borderId="11" xfId="1" applyNumberFormat="1" applyFont="1" applyBorder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21" fillId="4" borderId="1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4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9" fontId="21" fillId="0" borderId="1" xfId="0" applyNumberFormat="1" applyFont="1" applyBorder="1" applyAlignment="1">
      <alignment horizontal="center" vertical="center"/>
    </xf>
    <xf numFmtId="9" fontId="21" fillId="4" borderId="1" xfId="0" applyNumberFormat="1" applyFont="1" applyFill="1" applyBorder="1" applyAlignment="1">
      <alignment horizontal="center" vertical="center"/>
    </xf>
    <xf numFmtId="9" fontId="21" fillId="6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176" fontId="10" fillId="2" borderId="6" xfId="1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9" fontId="20" fillId="4" borderId="2" xfId="0" applyNumberFormat="1" applyFont="1" applyFill="1" applyBorder="1" applyAlignment="1">
      <alignment horizontal="center" vertical="center"/>
    </xf>
    <xf numFmtId="176" fontId="36" fillId="2" borderId="1" xfId="1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9" fontId="19" fillId="0" borderId="1" xfId="0" applyNumberFormat="1" applyFont="1" applyBorder="1" applyAlignment="1">
      <alignment horizontal="center" vertical="center"/>
    </xf>
    <xf numFmtId="9" fontId="20" fillId="4" borderId="1" xfId="0" applyNumberFormat="1" applyFont="1" applyFill="1" applyBorder="1" applyAlignment="1">
      <alignment horizontal="center" vertical="center"/>
    </xf>
    <xf numFmtId="9" fontId="20" fillId="0" borderId="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79" fontId="21" fillId="4" borderId="1" xfId="0" applyNumberFormat="1" applyFont="1" applyFill="1" applyBorder="1" applyAlignment="1">
      <alignment horizontal="center" vertical="center"/>
    </xf>
    <xf numFmtId="179" fontId="21" fillId="0" borderId="1" xfId="0" applyNumberFormat="1" applyFont="1" applyBorder="1" applyAlignment="1">
      <alignment horizontal="center" vertical="center"/>
    </xf>
    <xf numFmtId="179" fontId="21" fillId="6" borderId="1" xfId="0" applyNumberFormat="1" applyFont="1" applyFill="1" applyBorder="1" applyAlignment="1">
      <alignment horizontal="center" vertical="center"/>
    </xf>
    <xf numFmtId="181" fontId="21" fillId="4" borderId="1" xfId="0" applyNumberFormat="1" applyFont="1" applyFill="1" applyBorder="1" applyAlignment="1">
      <alignment horizontal="center" vertical="center"/>
    </xf>
    <xf numFmtId="181" fontId="19" fillId="4" borderId="1" xfId="0" applyNumberFormat="1" applyFont="1" applyFill="1" applyBorder="1" applyAlignment="1">
      <alignment horizontal="center" vertical="center"/>
    </xf>
    <xf numFmtId="181" fontId="19" fillId="6" borderId="1" xfId="0" applyNumberFormat="1" applyFont="1" applyFill="1" applyBorder="1" applyAlignment="1">
      <alignment horizontal="center" vertical="center"/>
    </xf>
    <xf numFmtId="181" fontId="19" fillId="0" borderId="1" xfId="0" applyNumberFormat="1" applyFont="1" applyBorder="1" applyAlignment="1">
      <alignment horizontal="center" vertical="center"/>
    </xf>
    <xf numFmtId="181" fontId="20" fillId="6" borderId="1" xfId="0" applyNumberFormat="1" applyFont="1" applyFill="1" applyBorder="1" applyAlignment="1">
      <alignment horizontal="center" vertical="center"/>
    </xf>
    <xf numFmtId="181" fontId="20" fillId="4" borderId="1" xfId="0" applyNumberFormat="1" applyFont="1" applyFill="1" applyBorder="1" applyAlignment="1">
      <alignment horizontal="center" vertical="center"/>
    </xf>
    <xf numFmtId="179" fontId="19" fillId="6" borderId="2" xfId="0" applyNumberFormat="1" applyFont="1" applyFill="1" applyBorder="1" applyAlignment="1">
      <alignment horizontal="center" vertical="center"/>
    </xf>
    <xf numFmtId="179" fontId="20" fillId="4" borderId="2" xfId="0" applyNumberFormat="1" applyFont="1" applyFill="1" applyBorder="1" applyAlignment="1">
      <alignment horizontal="center" vertical="center"/>
    </xf>
    <xf numFmtId="179" fontId="20" fillId="0" borderId="2" xfId="0" applyNumberFormat="1" applyFont="1" applyBorder="1" applyAlignment="1">
      <alignment horizontal="center" vertical="center"/>
    </xf>
    <xf numFmtId="179" fontId="20" fillId="4" borderId="1" xfId="0" applyNumberFormat="1" applyFont="1" applyFill="1" applyBorder="1" applyAlignment="1">
      <alignment horizontal="center" vertical="center"/>
    </xf>
    <xf numFmtId="181" fontId="19" fillId="6" borderId="2" xfId="0" applyNumberFormat="1" applyFont="1" applyFill="1" applyBorder="1" applyAlignment="1">
      <alignment horizontal="center" vertical="center"/>
    </xf>
    <xf numFmtId="181" fontId="20" fillId="4" borderId="2" xfId="0" applyNumberFormat="1" applyFont="1" applyFill="1" applyBorder="1" applyAlignment="1">
      <alignment horizontal="center" vertical="center"/>
    </xf>
    <xf numFmtId="181" fontId="20" fillId="0" borderId="2" xfId="0" applyNumberFormat="1" applyFont="1" applyBorder="1" applyAlignment="1">
      <alignment horizontal="center" vertical="center"/>
    </xf>
    <xf numFmtId="9" fontId="19" fillId="6" borderId="2" xfId="0" applyNumberFormat="1" applyFont="1" applyFill="1" applyBorder="1" applyAlignment="1">
      <alignment horizontal="center" vertical="center"/>
    </xf>
    <xf numFmtId="9" fontId="20" fillId="0" borderId="2" xfId="0" applyNumberFormat="1" applyFont="1" applyBorder="1" applyAlignment="1">
      <alignment horizontal="center" vertical="center"/>
    </xf>
    <xf numFmtId="179" fontId="20" fillId="6" borderId="1" xfId="0" applyNumberFormat="1" applyFont="1" applyFill="1" applyBorder="1" applyAlignment="1">
      <alignment horizontal="center" vertical="center"/>
    </xf>
    <xf numFmtId="9" fontId="20" fillId="6" borderId="1" xfId="0" applyNumberFormat="1" applyFont="1" applyFill="1" applyBorder="1" applyAlignment="1">
      <alignment horizontal="center" vertical="center"/>
    </xf>
    <xf numFmtId="176" fontId="5" fillId="2" borderId="4" xfId="1" applyNumberFormat="1" applyFont="1" applyBorder="1" applyAlignment="1">
      <alignment horizontal="center" vertical="center"/>
    </xf>
    <xf numFmtId="176" fontId="5" fillId="2" borderId="30" xfId="1" applyNumberFormat="1" applyFont="1" applyBorder="1" applyAlignment="1">
      <alignment horizontal="center" vertical="center"/>
    </xf>
    <xf numFmtId="176" fontId="10" fillId="2" borderId="4" xfId="1" applyNumberFormat="1" applyFont="1" applyBorder="1" applyAlignment="1">
      <alignment horizontal="center" vertical="center"/>
    </xf>
    <xf numFmtId="176" fontId="10" fillId="2" borderId="30" xfId="1" applyNumberFormat="1" applyFont="1" applyBorder="1" applyAlignment="1">
      <alignment horizontal="center" vertical="center"/>
    </xf>
    <xf numFmtId="176" fontId="9" fillId="2" borderId="10" xfId="1" applyNumberFormat="1" applyFont="1" applyBorder="1" applyAlignment="1">
      <alignment horizontal="center" vertical="center"/>
    </xf>
    <xf numFmtId="176" fontId="9" fillId="2" borderId="11" xfId="1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76" fontId="9" fillId="2" borderId="1" xfId="1" applyNumberFormat="1" applyFont="1" applyBorder="1" applyAlignment="1">
      <alignment horizontal="center" vertical="center"/>
    </xf>
    <xf numFmtId="176" fontId="24" fillId="2" borderId="6" xfId="1" applyNumberFormat="1" applyFont="1" applyBorder="1" applyAlignment="1">
      <alignment horizontal="center" vertical="center"/>
    </xf>
    <xf numFmtId="176" fontId="13" fillId="6" borderId="30" xfId="0" applyNumberFormat="1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178" fontId="13" fillId="6" borderId="8" xfId="0" applyNumberFormat="1" applyFont="1" applyFill="1" applyBorder="1" applyAlignment="1">
      <alignment horizontal="center" vertical="center"/>
    </xf>
    <xf numFmtId="179" fontId="13" fillId="4" borderId="6" xfId="0" applyNumberFormat="1" applyFont="1" applyFill="1" applyBorder="1" applyAlignment="1">
      <alignment horizontal="center" vertical="center"/>
    </xf>
    <xf numFmtId="179" fontId="21" fillId="8" borderId="1" xfId="0" applyNumberFormat="1" applyFont="1" applyFill="1" applyBorder="1" applyAlignment="1">
      <alignment horizontal="center" vertical="center"/>
    </xf>
    <xf numFmtId="181" fontId="19" fillId="8" borderId="1" xfId="0" applyNumberFormat="1" applyFont="1" applyFill="1" applyBorder="1" applyAlignment="1">
      <alignment horizontal="center" vertical="center"/>
    </xf>
    <xf numFmtId="9" fontId="21" fillId="8" borderId="1" xfId="0" applyNumberFormat="1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79" fontId="20" fillId="6" borderId="2" xfId="0" applyNumberFormat="1" applyFont="1" applyFill="1" applyBorder="1" applyAlignment="1">
      <alignment horizontal="center" vertical="center"/>
    </xf>
    <xf numFmtId="181" fontId="20" fillId="6" borderId="2" xfId="0" applyNumberFormat="1" applyFont="1" applyFill="1" applyBorder="1" applyAlignment="1">
      <alignment horizontal="center" vertical="center"/>
    </xf>
    <xf numFmtId="9" fontId="20" fillId="6" borderId="2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180" fontId="19" fillId="0" borderId="1" xfId="0" applyNumberFormat="1" applyFont="1" applyBorder="1" applyAlignment="1">
      <alignment horizontal="center" vertical="center"/>
    </xf>
    <xf numFmtId="0" fontId="45" fillId="0" borderId="0" xfId="0" applyFont="1">
      <alignment vertical="center"/>
    </xf>
    <xf numFmtId="0" fontId="10" fillId="0" borderId="0" xfId="0" applyFont="1">
      <alignment vertical="center"/>
    </xf>
    <xf numFmtId="176" fontId="48" fillId="2" borderId="1" xfId="1" applyNumberFormat="1" applyFont="1" applyBorder="1" applyAlignment="1">
      <alignment horizontal="center" vertical="center"/>
    </xf>
    <xf numFmtId="180" fontId="21" fillId="0" borderId="1" xfId="0" applyNumberFormat="1" applyFont="1" applyBorder="1" applyAlignment="1">
      <alignment horizontal="center" vertical="center"/>
    </xf>
    <xf numFmtId="181" fontId="21" fillId="0" borderId="1" xfId="0" applyNumberFormat="1" applyFont="1" applyBorder="1" applyAlignment="1">
      <alignment horizontal="center" vertical="center"/>
    </xf>
    <xf numFmtId="179" fontId="19" fillId="6" borderId="1" xfId="0" applyNumberFormat="1" applyFont="1" applyFill="1" applyBorder="1" applyAlignment="1">
      <alignment horizontal="center" vertical="center"/>
    </xf>
    <xf numFmtId="179" fontId="19" fillId="4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79" fontId="19" fillId="0" borderId="1" xfId="0" applyNumberFormat="1" applyFont="1" applyBorder="1" applyAlignment="1">
      <alignment horizontal="center" vertical="center"/>
    </xf>
    <xf numFmtId="179" fontId="19" fillId="8" borderId="1" xfId="0" applyNumberFormat="1" applyFont="1" applyFill="1" applyBorder="1" applyAlignment="1">
      <alignment horizontal="center" vertical="center"/>
    </xf>
    <xf numFmtId="0" fontId="46" fillId="0" borderId="0" xfId="0" applyFont="1">
      <alignment vertical="center"/>
    </xf>
    <xf numFmtId="0" fontId="19" fillId="4" borderId="2" xfId="0" applyFont="1" applyFill="1" applyBorder="1" applyAlignment="1">
      <alignment horizontal="center" vertical="center"/>
    </xf>
    <xf numFmtId="179" fontId="19" fillId="4" borderId="2" xfId="0" applyNumberFormat="1" applyFont="1" applyFill="1" applyBorder="1" applyAlignment="1">
      <alignment horizontal="center" vertical="center"/>
    </xf>
    <xf numFmtId="181" fontId="19" fillId="4" borderId="2" xfId="0" applyNumberFormat="1" applyFont="1" applyFill="1" applyBorder="1" applyAlignment="1">
      <alignment horizontal="center" vertical="center"/>
    </xf>
    <xf numFmtId="9" fontId="19" fillId="4" borderId="2" xfId="0" applyNumberFormat="1" applyFont="1" applyFill="1" applyBorder="1" applyAlignment="1">
      <alignment horizontal="center" vertical="center"/>
    </xf>
    <xf numFmtId="0" fontId="0" fillId="6" borderId="0" xfId="0" applyFill="1">
      <alignment vertical="center"/>
    </xf>
    <xf numFmtId="176" fontId="36" fillId="2" borderId="10" xfId="1" applyNumberFormat="1" applyFont="1" applyBorder="1" applyAlignment="1">
      <alignment horizontal="center" vertical="center"/>
    </xf>
    <xf numFmtId="176" fontId="36" fillId="2" borderId="11" xfId="1" applyNumberFormat="1" applyFont="1" applyBorder="1" applyAlignment="1">
      <alignment horizontal="center" vertical="center"/>
    </xf>
    <xf numFmtId="176" fontId="49" fillId="2" borderId="10" xfId="1" applyNumberFormat="1" applyFont="1" applyBorder="1" applyAlignment="1">
      <alignment horizontal="centerContinuous" vertical="center"/>
    </xf>
    <xf numFmtId="176" fontId="10" fillId="2" borderId="6" xfId="1" applyNumberFormat="1" applyFont="1" applyBorder="1" applyAlignment="1">
      <alignment horizontal="centerContinuous" vertical="center"/>
    </xf>
    <xf numFmtId="176" fontId="10" fillId="2" borderId="11" xfId="1" applyNumberFormat="1" applyFont="1" applyBorder="1" applyAlignment="1">
      <alignment horizontal="centerContinuous" vertical="center"/>
    </xf>
    <xf numFmtId="9" fontId="21" fillId="0" borderId="1" xfId="4" applyFont="1" applyBorder="1" applyAlignment="1">
      <alignment horizontal="center" vertical="center"/>
    </xf>
    <xf numFmtId="9" fontId="19" fillId="8" borderId="1" xfId="4" applyFont="1" applyFill="1" applyBorder="1" applyAlignment="1">
      <alignment horizontal="center" vertical="center"/>
    </xf>
    <xf numFmtId="9" fontId="19" fillId="0" borderId="1" xfId="4" applyFont="1" applyBorder="1" applyAlignment="1">
      <alignment horizontal="center" vertical="center"/>
    </xf>
    <xf numFmtId="176" fontId="48" fillId="2" borderId="10" xfId="1" applyNumberFormat="1" applyFont="1" applyBorder="1" applyAlignment="1">
      <alignment horizontal="center" vertical="center"/>
    </xf>
    <xf numFmtId="176" fontId="48" fillId="2" borderId="11" xfId="1" applyNumberFormat="1" applyFont="1" applyBorder="1" applyAlignment="1">
      <alignment horizontal="center" vertical="center"/>
    </xf>
    <xf numFmtId="176" fontId="24" fillId="2" borderId="10" xfId="1" applyNumberFormat="1" applyFont="1" applyBorder="1" applyAlignment="1">
      <alignment horizontal="centerContinuous" vertical="center"/>
    </xf>
    <xf numFmtId="176" fontId="24" fillId="2" borderId="6" xfId="1" applyNumberFormat="1" applyFont="1" applyBorder="1" applyAlignment="1">
      <alignment horizontal="centerContinuous" vertical="center"/>
    </xf>
    <xf numFmtId="176" fontId="24" fillId="2" borderId="11" xfId="1" applyNumberFormat="1" applyFont="1" applyBorder="1" applyAlignment="1">
      <alignment horizontal="centerContinuous" vertical="center"/>
    </xf>
    <xf numFmtId="176" fontId="24" fillId="2" borderId="1" xfId="1" applyNumberFormat="1" applyFont="1" applyBorder="1" applyAlignment="1">
      <alignment horizontal="centerContinuous" vertical="center"/>
    </xf>
    <xf numFmtId="178" fontId="13" fillId="6" borderId="1" xfId="0" applyNumberFormat="1" applyFont="1" applyFill="1" applyBorder="1" applyAlignment="1">
      <alignment horizontal="centerContinuous" vertical="center"/>
    </xf>
    <xf numFmtId="180" fontId="13" fillId="3" borderId="16" xfId="0" applyNumberFormat="1" applyFont="1" applyFill="1" applyBorder="1" applyAlignment="1">
      <alignment horizontal="centerContinuous" vertical="center"/>
    </xf>
    <xf numFmtId="0" fontId="13" fillId="3" borderId="19" xfId="0" applyFont="1" applyFill="1" applyBorder="1" applyAlignment="1">
      <alignment horizontal="centerContinuous" vertical="center"/>
    </xf>
    <xf numFmtId="179" fontId="13" fillId="4" borderId="10" xfId="0" applyNumberFormat="1" applyFont="1" applyFill="1" applyBorder="1" applyAlignment="1">
      <alignment horizontal="centerContinuous" vertical="center"/>
    </xf>
    <xf numFmtId="179" fontId="13" fillId="4" borderId="6" xfId="0" applyNumberFormat="1" applyFont="1" applyFill="1" applyBorder="1" applyAlignment="1">
      <alignment horizontal="centerContinuous" vertical="center"/>
    </xf>
    <xf numFmtId="0" fontId="20" fillId="0" borderId="12" xfId="0" applyFont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20" fillId="4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9" fontId="20" fillId="4" borderId="0" xfId="0" applyNumberFormat="1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179" fontId="21" fillId="6" borderId="0" xfId="0" applyNumberFormat="1" applyFont="1" applyFill="1" applyAlignment="1">
      <alignment horizontal="center" vertical="center"/>
    </xf>
    <xf numFmtId="181" fontId="20" fillId="6" borderId="0" xfId="0" applyNumberFormat="1" applyFont="1" applyFill="1" applyAlignment="1">
      <alignment horizontal="center" vertical="center"/>
    </xf>
    <xf numFmtId="9" fontId="20" fillId="6" borderId="0" xfId="0" applyNumberFormat="1" applyFont="1" applyFill="1" applyAlignment="1">
      <alignment horizontal="center" vertical="center"/>
    </xf>
    <xf numFmtId="9" fontId="19" fillId="4" borderId="1" xfId="0" applyNumberFormat="1" applyFont="1" applyFill="1" applyBorder="1" applyAlignment="1">
      <alignment horizontal="center" vertical="center"/>
    </xf>
    <xf numFmtId="0" fontId="46" fillId="6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center" vertical="center"/>
    </xf>
    <xf numFmtId="9" fontId="21" fillId="6" borderId="0" xfId="0" applyNumberFormat="1" applyFont="1" applyFill="1" applyAlignment="1">
      <alignment horizontal="center" vertical="center"/>
    </xf>
    <xf numFmtId="0" fontId="50" fillId="0" borderId="0" xfId="0" applyFont="1" applyAlignment="1">
      <alignment horizontal="right" vertical="center"/>
    </xf>
    <xf numFmtId="0" fontId="13" fillId="3" borderId="17" xfId="0" applyFont="1" applyFill="1" applyBorder="1" applyAlignment="1">
      <alignment horizontal="centerContinuous" vertical="center"/>
    </xf>
    <xf numFmtId="179" fontId="13" fillId="4" borderId="11" xfId="0" applyNumberFormat="1" applyFont="1" applyFill="1" applyBorder="1" applyAlignment="1">
      <alignment horizontal="centerContinuous" vertical="center"/>
    </xf>
    <xf numFmtId="9" fontId="21" fillId="4" borderId="1" xfId="4" applyFont="1" applyFill="1" applyBorder="1" applyAlignment="1">
      <alignment horizontal="center" vertical="center"/>
    </xf>
    <xf numFmtId="180" fontId="20" fillId="6" borderId="1" xfId="0" applyNumberFormat="1" applyFont="1" applyFill="1" applyBorder="1" applyAlignment="1">
      <alignment horizontal="center" vertical="center"/>
    </xf>
    <xf numFmtId="180" fontId="21" fillId="6" borderId="0" xfId="0" applyNumberFormat="1" applyFont="1" applyFill="1" applyAlignment="1">
      <alignment horizontal="center" vertical="center"/>
    </xf>
    <xf numFmtId="180" fontId="20" fillId="6" borderId="0" xfId="0" applyNumberFormat="1" applyFont="1" applyFill="1" applyAlignment="1">
      <alignment horizontal="center" vertical="center"/>
    </xf>
    <xf numFmtId="180" fontId="20" fillId="6" borderId="9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left" vertical="top"/>
    </xf>
    <xf numFmtId="0" fontId="46" fillId="0" borderId="0" xfId="0" applyFont="1" applyAlignment="1">
      <alignment horizontal="centerContinuous" vertical="center"/>
    </xf>
    <xf numFmtId="0" fontId="25" fillId="0" borderId="0" xfId="0" applyFont="1" applyAlignment="1">
      <alignment horizontal="centerContinuous" vertical="center"/>
    </xf>
    <xf numFmtId="181" fontId="3" fillId="4" borderId="10" xfId="0" applyNumberFormat="1" applyFont="1" applyFill="1" applyBorder="1" applyAlignment="1">
      <alignment horizontal="center" vertical="center"/>
    </xf>
    <xf numFmtId="181" fontId="3" fillId="4" borderId="11" xfId="0" applyNumberFormat="1" applyFont="1" applyFill="1" applyBorder="1" applyAlignment="1">
      <alignment horizontal="center" vertical="center"/>
    </xf>
    <xf numFmtId="176" fontId="35" fillId="4" borderId="10" xfId="0" applyNumberFormat="1" applyFont="1" applyFill="1" applyBorder="1" applyAlignment="1">
      <alignment horizontal="center" vertical="center"/>
    </xf>
    <xf numFmtId="176" fontId="35" fillId="4" borderId="11" xfId="0" applyNumberFormat="1" applyFont="1" applyFill="1" applyBorder="1" applyAlignment="1">
      <alignment horizontal="center" vertical="center"/>
    </xf>
    <xf numFmtId="179" fontId="21" fillId="8" borderId="0" xfId="0" applyNumberFormat="1" applyFont="1" applyFill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81" fontId="52" fillId="0" borderId="1" xfId="0" applyNumberFormat="1" applyFont="1" applyBorder="1" applyAlignment="1">
      <alignment horizontal="center" vertical="center"/>
    </xf>
    <xf numFmtId="181" fontId="3" fillId="4" borderId="10" xfId="0" applyNumberFormat="1" applyFont="1" applyFill="1" applyBorder="1" applyAlignment="1">
      <alignment horizontal="centerContinuous" vertical="center"/>
    </xf>
    <xf numFmtId="181" fontId="3" fillId="4" borderId="11" xfId="0" applyNumberFormat="1" applyFont="1" applyFill="1" applyBorder="1" applyAlignment="1">
      <alignment horizontal="centerContinuous" vertical="center"/>
    </xf>
    <xf numFmtId="181" fontId="53" fillId="3" borderId="1" xfId="0" applyNumberFormat="1" applyFont="1" applyFill="1" applyBorder="1" applyAlignment="1">
      <alignment horizontal="center" vertical="center"/>
    </xf>
    <xf numFmtId="0" fontId="54" fillId="0" borderId="0" xfId="0" applyFont="1">
      <alignment vertical="center"/>
    </xf>
    <xf numFmtId="176" fontId="1" fillId="2" borderId="0" xfId="1" applyNumberFormat="1" applyBorder="1" applyAlignment="1">
      <alignment horizontal="center" vertical="center"/>
    </xf>
    <xf numFmtId="176" fontId="1" fillId="2" borderId="7" xfId="1" applyNumberFormat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1" fillId="2" borderId="1" xfId="1" applyNumberFormat="1" applyBorder="1" applyAlignment="1">
      <alignment horizontal="center" vertical="center"/>
    </xf>
    <xf numFmtId="176" fontId="9" fillId="5" borderId="4" xfId="0" applyNumberFormat="1" applyFont="1" applyFill="1" applyBorder="1" applyAlignment="1">
      <alignment horizontal="center" vertical="center" wrapText="1"/>
    </xf>
    <xf numFmtId="176" fontId="9" fillId="5" borderId="5" xfId="0" applyNumberFormat="1" applyFont="1" applyFill="1" applyBorder="1" applyAlignment="1">
      <alignment horizontal="center" vertical="center"/>
    </xf>
    <xf numFmtId="176" fontId="10" fillId="5" borderId="4" xfId="0" applyNumberFormat="1" applyFont="1" applyFill="1" applyBorder="1" applyAlignment="1">
      <alignment horizontal="center" vertical="center"/>
    </xf>
    <xf numFmtId="176" fontId="10" fillId="5" borderId="5" xfId="0" applyNumberFormat="1" applyFont="1" applyFill="1" applyBorder="1" applyAlignment="1">
      <alignment horizontal="center" vertical="center"/>
    </xf>
    <xf numFmtId="176" fontId="3" fillId="0" borderId="6" xfId="0" applyNumberFormat="1" applyFont="1" applyBorder="1" applyAlignment="1">
      <alignment horizontal="left" vertical="top" wrapText="1"/>
    </xf>
    <xf numFmtId="176" fontId="3" fillId="0" borderId="6" xfId="0" applyNumberFormat="1" applyFont="1" applyBorder="1" applyAlignment="1">
      <alignment horizontal="left" vertical="top"/>
    </xf>
    <xf numFmtId="176" fontId="3" fillId="0" borderId="8" xfId="0" applyNumberFormat="1" applyFont="1" applyBorder="1" applyAlignment="1">
      <alignment horizontal="center" vertical="top" wrapText="1"/>
    </xf>
    <xf numFmtId="176" fontId="9" fillId="5" borderId="1" xfId="0" applyNumberFormat="1" applyFont="1" applyFill="1" applyBorder="1" applyAlignment="1">
      <alignment horizontal="center" vertical="center" wrapText="1"/>
    </xf>
    <xf numFmtId="176" fontId="9" fillId="5" borderId="1" xfId="0" applyNumberFormat="1" applyFont="1" applyFill="1" applyBorder="1" applyAlignment="1">
      <alignment horizontal="center" vertical="center"/>
    </xf>
    <xf numFmtId="176" fontId="8" fillId="5" borderId="2" xfId="0" applyNumberFormat="1" applyFont="1" applyFill="1" applyBorder="1" applyAlignment="1">
      <alignment horizontal="center" vertical="center"/>
    </xf>
    <xf numFmtId="176" fontId="8" fillId="5" borderId="3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top" wrapText="1"/>
    </xf>
    <xf numFmtId="176" fontId="8" fillId="5" borderId="1" xfId="0" applyNumberFormat="1" applyFont="1" applyFill="1" applyBorder="1" applyAlignment="1">
      <alignment horizontal="center" vertical="center" wrapText="1"/>
    </xf>
    <xf numFmtId="176" fontId="8" fillId="5" borderId="2" xfId="0" applyNumberFormat="1" applyFont="1" applyFill="1" applyBorder="1" applyAlignment="1">
      <alignment horizontal="center" vertical="center" wrapText="1"/>
    </xf>
    <xf numFmtId="176" fontId="8" fillId="5" borderId="3" xfId="0" applyNumberFormat="1" applyFont="1" applyFill="1" applyBorder="1" applyAlignment="1">
      <alignment horizontal="center" vertical="center" wrapText="1"/>
    </xf>
    <xf numFmtId="176" fontId="8" fillId="5" borderId="9" xfId="0" applyNumberFormat="1" applyFont="1" applyFill="1" applyBorder="1" applyAlignment="1">
      <alignment horizontal="center" vertical="center" wrapText="1"/>
    </xf>
    <xf numFmtId="176" fontId="8" fillId="5" borderId="9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left" vertical="top" wrapText="1"/>
    </xf>
    <xf numFmtId="176" fontId="3" fillId="0" borderId="0" xfId="0" applyNumberFormat="1" applyFont="1" applyAlignment="1">
      <alignment horizontal="left" vertical="top"/>
    </xf>
    <xf numFmtId="176" fontId="3" fillId="0" borderId="8" xfId="0" applyNumberFormat="1" applyFont="1" applyBorder="1" applyAlignment="1">
      <alignment horizontal="left" vertical="top"/>
    </xf>
    <xf numFmtId="176" fontId="3" fillId="0" borderId="8" xfId="0" applyNumberFormat="1" applyFont="1" applyBorder="1" applyAlignment="1">
      <alignment horizontal="left" vertical="top" wrapText="1"/>
    </xf>
    <xf numFmtId="176" fontId="5" fillId="2" borderId="10" xfId="1" applyNumberFormat="1" applyFont="1" applyBorder="1" applyAlignment="1">
      <alignment horizontal="center" vertical="center"/>
    </xf>
    <xf numFmtId="176" fontId="5" fillId="2" borderId="11" xfId="1" applyNumberFormat="1" applyFont="1" applyBorder="1" applyAlignment="1">
      <alignment horizontal="center" vertical="center"/>
    </xf>
    <xf numFmtId="176" fontId="24" fillId="5" borderId="2" xfId="0" applyNumberFormat="1" applyFont="1" applyFill="1" applyBorder="1" applyAlignment="1">
      <alignment horizontal="center" vertical="center"/>
    </xf>
    <xf numFmtId="176" fontId="24" fillId="5" borderId="14" xfId="0" applyNumberFormat="1" applyFont="1" applyFill="1" applyBorder="1" applyAlignment="1">
      <alignment horizontal="center" vertical="center"/>
    </xf>
    <xf numFmtId="176" fontId="24" fillId="5" borderId="15" xfId="0" applyNumberFormat="1" applyFont="1" applyFill="1" applyBorder="1" applyAlignment="1">
      <alignment horizontal="center" vertical="center"/>
    </xf>
    <xf numFmtId="176" fontId="24" fillId="5" borderId="9" xfId="0" applyNumberFormat="1" applyFont="1" applyFill="1" applyBorder="1" applyAlignment="1">
      <alignment horizontal="center" vertical="center"/>
    </xf>
    <xf numFmtId="176" fontId="24" fillId="5" borderId="1" xfId="0" applyNumberFormat="1" applyFont="1" applyFill="1" applyBorder="1" applyAlignment="1">
      <alignment horizontal="center" vertical="center"/>
    </xf>
    <xf numFmtId="176" fontId="17" fillId="2" borderId="11" xfId="1" applyNumberFormat="1" applyFont="1" applyBorder="1" applyAlignment="1">
      <alignment horizontal="center" vertical="center"/>
    </xf>
    <xf numFmtId="176" fontId="17" fillId="2" borderId="1" xfId="1" applyNumberFormat="1" applyFont="1" applyBorder="1" applyAlignment="1">
      <alignment horizontal="center" vertical="center"/>
    </xf>
    <xf numFmtId="176" fontId="23" fillId="2" borderId="10" xfId="1" applyNumberFormat="1" applyFont="1" applyBorder="1" applyAlignment="1">
      <alignment horizontal="center" vertical="center"/>
    </xf>
    <xf numFmtId="176" fontId="23" fillId="2" borderId="11" xfId="1" applyNumberFormat="1" applyFont="1" applyBorder="1" applyAlignment="1">
      <alignment horizontal="center" vertical="center"/>
    </xf>
    <xf numFmtId="176" fontId="0" fillId="6" borderId="4" xfId="0" applyNumberFormat="1" applyFill="1" applyBorder="1" applyAlignment="1">
      <alignment horizontal="center" vertical="center"/>
    </xf>
    <xf numFmtId="176" fontId="0" fillId="6" borderId="12" xfId="0" applyNumberForma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177" fontId="11" fillId="6" borderId="5" xfId="0" applyNumberFormat="1" applyFont="1" applyFill="1" applyBorder="1" applyAlignment="1">
      <alignment horizontal="center" vertical="center"/>
    </xf>
    <xf numFmtId="177" fontId="11" fillId="6" borderId="13" xfId="0" applyNumberFormat="1" applyFont="1" applyFill="1" applyBorder="1" applyAlignment="1">
      <alignment horizontal="center" vertical="center"/>
    </xf>
    <xf numFmtId="176" fontId="0" fillId="4" borderId="10" xfId="0" applyNumberFormat="1" applyFill="1" applyBorder="1" applyAlignment="1">
      <alignment horizontal="center" vertical="center"/>
    </xf>
    <xf numFmtId="176" fontId="0" fillId="4" borderId="11" xfId="0" applyNumberFormat="1" applyFill="1" applyBorder="1" applyAlignment="1">
      <alignment horizontal="center" vertical="center"/>
    </xf>
    <xf numFmtId="176" fontId="11" fillId="6" borderId="10" xfId="0" applyNumberFormat="1" applyFont="1" applyFill="1" applyBorder="1" applyAlignment="1">
      <alignment horizontal="center" vertical="center"/>
    </xf>
    <xf numFmtId="176" fontId="11" fillId="6" borderId="11" xfId="0" applyNumberFormat="1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178" fontId="11" fillId="6" borderId="5" xfId="0" applyNumberFormat="1" applyFont="1" applyFill="1" applyBorder="1" applyAlignment="1">
      <alignment horizontal="center" vertical="center"/>
    </xf>
    <xf numFmtId="178" fontId="11" fillId="6" borderId="13" xfId="0" applyNumberFormat="1" applyFont="1" applyFill="1" applyBorder="1" applyAlignment="1">
      <alignment horizontal="center" vertical="center"/>
    </xf>
    <xf numFmtId="176" fontId="5" fillId="2" borderId="6" xfId="1" applyNumberFormat="1" applyFont="1" applyBorder="1" applyAlignment="1">
      <alignment horizontal="center" vertical="center"/>
    </xf>
    <xf numFmtId="176" fontId="0" fillId="4" borderId="6" xfId="0" applyNumberFormat="1" applyFill="1" applyBorder="1" applyAlignment="1">
      <alignment horizontal="center" vertical="center"/>
    </xf>
    <xf numFmtId="178" fontId="11" fillId="6" borderId="8" xfId="0" applyNumberFormat="1" applyFont="1" applyFill="1" applyBorder="1" applyAlignment="1">
      <alignment horizontal="center" vertical="center"/>
    </xf>
    <xf numFmtId="176" fontId="0" fillId="6" borderId="30" xfId="0" applyNumberFormat="1" applyFill="1" applyBorder="1" applyAlignment="1">
      <alignment horizontal="center" vertical="center"/>
    </xf>
    <xf numFmtId="176" fontId="23" fillId="2" borderId="1" xfId="1" applyNumberFormat="1" applyFont="1" applyBorder="1" applyAlignment="1">
      <alignment horizontal="center" vertical="center"/>
    </xf>
    <xf numFmtId="176" fontId="23" fillId="2" borderId="6" xfId="1" applyNumberFormat="1" applyFont="1" applyBorder="1" applyAlignment="1">
      <alignment horizontal="center" vertical="center"/>
    </xf>
    <xf numFmtId="176" fontId="49" fillId="2" borderId="10" xfId="1" applyNumberFormat="1" applyFont="1" applyBorder="1" applyAlignment="1">
      <alignment horizontal="center" vertical="center"/>
    </xf>
    <xf numFmtId="176" fontId="10" fillId="2" borderId="6" xfId="1" applyNumberFormat="1" applyFont="1" applyBorder="1" applyAlignment="1">
      <alignment horizontal="center" vertical="center"/>
    </xf>
    <xf numFmtId="176" fontId="10" fillId="2" borderId="11" xfId="1" applyNumberFormat="1" applyFont="1" applyBorder="1" applyAlignment="1">
      <alignment horizontal="center" vertical="center"/>
    </xf>
    <xf numFmtId="179" fontId="0" fillId="4" borderId="10" xfId="0" applyNumberFormat="1" applyFill="1" applyBorder="1" applyAlignment="1">
      <alignment horizontal="center" vertical="center"/>
    </xf>
    <xf numFmtId="179" fontId="0" fillId="4" borderId="6" xfId="0" applyNumberFormat="1" applyFill="1" applyBorder="1" applyAlignment="1">
      <alignment horizontal="center" vertical="center"/>
    </xf>
    <xf numFmtId="179" fontId="0" fillId="4" borderId="11" xfId="0" applyNumberFormat="1" applyFill="1" applyBorder="1" applyAlignment="1">
      <alignment horizontal="center" vertical="center"/>
    </xf>
    <xf numFmtId="176" fontId="11" fillId="6" borderId="6" xfId="0" applyNumberFormat="1" applyFont="1" applyFill="1" applyBorder="1" applyAlignment="1">
      <alignment horizontal="center" vertical="center"/>
    </xf>
    <xf numFmtId="177" fontId="11" fillId="6" borderId="8" xfId="0" applyNumberFormat="1" applyFont="1" applyFill="1" applyBorder="1" applyAlignment="1">
      <alignment horizontal="center" vertical="center"/>
    </xf>
    <xf numFmtId="179" fontId="19" fillId="0" borderId="10" xfId="0" applyNumberFormat="1" applyFont="1" applyBorder="1" applyAlignment="1">
      <alignment horizontal="center" vertical="center"/>
    </xf>
    <xf numFmtId="179" fontId="19" fillId="0" borderId="11" xfId="0" applyNumberFormat="1" applyFont="1" applyBorder="1" applyAlignment="1">
      <alignment horizontal="center" vertical="center"/>
    </xf>
    <xf numFmtId="180" fontId="0" fillId="6" borderId="4" xfId="0" applyNumberFormat="1" applyFill="1" applyBorder="1" applyAlignment="1">
      <alignment horizontal="center" vertical="center"/>
    </xf>
    <xf numFmtId="180" fontId="0" fillId="6" borderId="30" xfId="0" applyNumberFormat="1" applyFill="1" applyBorder="1" applyAlignment="1">
      <alignment horizontal="center" vertical="center"/>
    </xf>
    <xf numFmtId="180" fontId="0" fillId="6" borderId="12" xfId="0" applyNumberFormat="1" applyFill="1" applyBorder="1" applyAlignment="1">
      <alignment horizontal="center" vertical="center"/>
    </xf>
    <xf numFmtId="180" fontId="11" fillId="3" borderId="16" xfId="0" applyNumberFormat="1" applyFont="1" applyFill="1" applyBorder="1" applyAlignment="1">
      <alignment horizontal="center" vertical="center"/>
    </xf>
    <xf numFmtId="180" fontId="11" fillId="3" borderId="19" xfId="0" applyNumberFormat="1" applyFont="1" applyFill="1" applyBorder="1" applyAlignment="1">
      <alignment horizontal="center" vertical="center"/>
    </xf>
    <xf numFmtId="180" fontId="11" fillId="3" borderId="17" xfId="0" applyNumberFormat="1" applyFont="1" applyFill="1" applyBorder="1" applyAlignment="1">
      <alignment horizontal="center" vertical="center"/>
    </xf>
    <xf numFmtId="180" fontId="11" fillId="3" borderId="18" xfId="0" applyNumberFormat="1" applyFont="1" applyFill="1" applyBorder="1" applyAlignment="1">
      <alignment horizontal="center" vertical="center"/>
    </xf>
    <xf numFmtId="180" fontId="19" fillId="0" borderId="10" xfId="0" applyNumberFormat="1" applyFont="1" applyBorder="1" applyAlignment="1">
      <alignment horizontal="center" vertical="center"/>
    </xf>
    <xf numFmtId="180" fontId="19" fillId="0" borderId="11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11" borderId="10" xfId="0" applyFont="1" applyFill="1" applyBorder="1" applyAlignment="1">
      <alignment horizontal="center" vertical="center"/>
    </xf>
    <xf numFmtId="0" fontId="19" fillId="11" borderId="11" xfId="0" applyFont="1" applyFill="1" applyBorder="1" applyAlignment="1">
      <alignment horizontal="center" vertical="center"/>
    </xf>
    <xf numFmtId="176" fontId="31" fillId="2" borderId="10" xfId="1" applyNumberFormat="1" applyFont="1" applyBorder="1" applyAlignment="1">
      <alignment horizontal="center" vertical="center"/>
    </xf>
    <xf numFmtId="176" fontId="31" fillId="2" borderId="11" xfId="1" applyNumberFormat="1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51" fillId="0" borderId="6" xfId="0" applyFont="1" applyBorder="1" applyAlignment="1">
      <alignment horizontal="left" vertical="top" wrapText="1"/>
    </xf>
    <xf numFmtId="180" fontId="3" fillId="6" borderId="10" xfId="0" applyNumberFormat="1" applyFont="1" applyFill="1" applyBorder="1" applyAlignment="1">
      <alignment horizontal="center" vertical="center"/>
    </xf>
    <xf numFmtId="180" fontId="3" fillId="6" borderId="11" xfId="0" applyNumberFormat="1" applyFont="1" applyFill="1" applyBorder="1" applyAlignment="1">
      <alignment horizontal="center" vertical="center"/>
    </xf>
    <xf numFmtId="176" fontId="35" fillId="6" borderId="10" xfId="0" applyNumberFormat="1" applyFont="1" applyFill="1" applyBorder="1" applyAlignment="1">
      <alignment horizontal="center" vertical="center"/>
    </xf>
    <xf numFmtId="176" fontId="35" fillId="6" borderId="11" xfId="0" applyNumberFormat="1" applyFont="1" applyFill="1" applyBorder="1" applyAlignment="1">
      <alignment horizontal="center" vertical="center"/>
    </xf>
    <xf numFmtId="181" fontId="3" fillId="4" borderId="10" xfId="0" applyNumberFormat="1" applyFont="1" applyFill="1" applyBorder="1" applyAlignment="1">
      <alignment horizontal="center" vertical="center"/>
    </xf>
    <xf numFmtId="181" fontId="3" fillId="4" borderId="11" xfId="0" applyNumberFormat="1" applyFont="1" applyFill="1" applyBorder="1" applyAlignment="1">
      <alignment horizontal="center" vertical="center"/>
    </xf>
    <xf numFmtId="176" fontId="35" fillId="4" borderId="10" xfId="0" applyNumberFormat="1" applyFont="1" applyFill="1" applyBorder="1" applyAlignment="1">
      <alignment horizontal="center" vertical="center"/>
    </xf>
    <xf numFmtId="176" fontId="35" fillId="4" borderId="11" xfId="0" applyNumberFormat="1" applyFont="1" applyFill="1" applyBorder="1" applyAlignment="1">
      <alignment horizontal="center" vertical="center"/>
    </xf>
    <xf numFmtId="182" fontId="3" fillId="4" borderId="10" xfId="0" applyNumberFormat="1" applyFont="1" applyFill="1" applyBorder="1" applyAlignment="1">
      <alignment horizontal="center" vertical="center"/>
    </xf>
    <xf numFmtId="182" fontId="3" fillId="4" borderId="11" xfId="0" applyNumberFormat="1" applyFont="1" applyFill="1" applyBorder="1" applyAlignment="1">
      <alignment horizontal="center" vertical="center"/>
    </xf>
    <xf numFmtId="177" fontId="3" fillId="6" borderId="5" xfId="0" applyNumberFormat="1" applyFont="1" applyFill="1" applyBorder="1" applyAlignment="1">
      <alignment horizontal="center" vertical="center"/>
    </xf>
    <xf numFmtId="177" fontId="3" fillId="6" borderId="13" xfId="0" applyNumberFormat="1" applyFont="1" applyFill="1" applyBorder="1" applyAlignment="1">
      <alignment horizontal="center" vertical="center"/>
    </xf>
    <xf numFmtId="180" fontId="3" fillId="3" borderId="16" xfId="0" applyNumberFormat="1" applyFont="1" applyFill="1" applyBorder="1" applyAlignment="1">
      <alignment horizontal="center" vertical="center"/>
    </xf>
    <xf numFmtId="180" fontId="3" fillId="3" borderId="20" xfId="0" applyNumberFormat="1" applyFont="1" applyFill="1" applyBorder="1" applyAlignment="1">
      <alignment horizontal="center" vertical="center"/>
    </xf>
    <xf numFmtId="180" fontId="3" fillId="3" borderId="19" xfId="0" applyNumberFormat="1" applyFont="1" applyFill="1" applyBorder="1" applyAlignment="1">
      <alignment horizontal="center" vertical="center"/>
    </xf>
    <xf numFmtId="180" fontId="3" fillId="3" borderId="18" xfId="0" applyNumberFormat="1" applyFont="1" applyFill="1" applyBorder="1" applyAlignment="1">
      <alignment horizontal="center" vertical="center"/>
    </xf>
    <xf numFmtId="180" fontId="3" fillId="3" borderId="17" xfId="0" applyNumberFormat="1" applyFont="1" applyFill="1" applyBorder="1" applyAlignment="1">
      <alignment horizontal="center" vertical="center"/>
    </xf>
    <xf numFmtId="0" fontId="35" fillId="3" borderId="16" xfId="0" applyFont="1" applyFill="1" applyBorder="1" applyAlignment="1">
      <alignment horizontal="center" vertical="center"/>
    </xf>
    <xf numFmtId="0" fontId="35" fillId="3" borderId="17" xfId="0" applyFont="1" applyFill="1" applyBorder="1" applyAlignment="1">
      <alignment horizontal="center" vertical="center"/>
    </xf>
    <xf numFmtId="177" fontId="35" fillId="6" borderId="5" xfId="0" applyNumberFormat="1" applyFont="1" applyFill="1" applyBorder="1" applyAlignment="1">
      <alignment horizontal="center" vertical="center"/>
    </xf>
    <xf numFmtId="177" fontId="35" fillId="6" borderId="13" xfId="0" applyNumberFormat="1" applyFont="1" applyFill="1" applyBorder="1" applyAlignment="1">
      <alignment horizontal="center" vertical="center"/>
    </xf>
    <xf numFmtId="176" fontId="35" fillId="6" borderId="4" xfId="0" applyNumberFormat="1" applyFont="1" applyFill="1" applyBorder="1" applyAlignment="1">
      <alignment horizontal="center" vertical="center"/>
    </xf>
    <xf numFmtId="176" fontId="35" fillId="6" borderId="12" xfId="0" applyNumberFormat="1" applyFont="1" applyFill="1" applyBorder="1" applyAlignment="1">
      <alignment horizontal="center" vertical="center"/>
    </xf>
    <xf numFmtId="180" fontId="3" fillId="6" borderId="4" xfId="0" applyNumberFormat="1" applyFont="1" applyFill="1" applyBorder="1" applyAlignment="1">
      <alignment horizontal="center" vertical="center"/>
    </xf>
    <xf numFmtId="180" fontId="3" fillId="6" borderId="12" xfId="0" applyNumberFormat="1" applyFont="1" applyFill="1" applyBorder="1" applyAlignment="1">
      <alignment horizontal="center" vertical="center"/>
    </xf>
    <xf numFmtId="176" fontId="9" fillId="2" borderId="1" xfId="1" applyNumberFormat="1" applyFont="1" applyBorder="1" applyAlignment="1">
      <alignment horizontal="center" vertical="center"/>
    </xf>
    <xf numFmtId="182" fontId="35" fillId="4" borderId="10" xfId="0" applyNumberFormat="1" applyFont="1" applyFill="1" applyBorder="1" applyAlignment="1">
      <alignment horizontal="center" vertical="center"/>
    </xf>
    <xf numFmtId="182" fontId="35" fillId="4" borderId="11" xfId="0" applyNumberFormat="1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 wrapText="1"/>
    </xf>
    <xf numFmtId="0" fontId="46" fillId="0" borderId="9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176" fontId="9" fillId="2" borderId="10" xfId="1" applyNumberFormat="1" applyFont="1" applyBorder="1" applyAlignment="1">
      <alignment horizontal="center" vertical="center"/>
    </xf>
    <xf numFmtId="176" fontId="9" fillId="2" borderId="6" xfId="1" applyNumberFormat="1" applyFont="1" applyBorder="1" applyAlignment="1">
      <alignment horizontal="center" vertical="center"/>
    </xf>
    <xf numFmtId="176" fontId="9" fillId="2" borderId="11" xfId="1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76" fontId="10" fillId="2" borderId="10" xfId="1" applyNumberFormat="1" applyFont="1" applyBorder="1" applyAlignment="1">
      <alignment horizontal="center" vertical="center"/>
    </xf>
    <xf numFmtId="180" fontId="13" fillId="6" borderId="31" xfId="0" applyNumberFormat="1" applyFont="1" applyFill="1" applyBorder="1" applyAlignment="1">
      <alignment horizontal="center" vertical="center"/>
    </xf>
    <xf numFmtId="180" fontId="13" fillId="6" borderId="32" xfId="0" applyNumberFormat="1" applyFont="1" applyFill="1" applyBorder="1" applyAlignment="1">
      <alignment horizontal="center" vertical="center"/>
    </xf>
    <xf numFmtId="180" fontId="13" fillId="6" borderId="33" xfId="0" applyNumberFormat="1" applyFont="1" applyFill="1" applyBorder="1" applyAlignment="1">
      <alignment horizontal="center" vertical="center"/>
    </xf>
    <xf numFmtId="180" fontId="13" fillId="6" borderId="1" xfId="0" applyNumberFormat="1" applyFont="1" applyFill="1" applyBorder="1" applyAlignment="1">
      <alignment horizontal="center" vertical="center"/>
    </xf>
    <xf numFmtId="178" fontId="13" fillId="6" borderId="5" xfId="0" applyNumberFormat="1" applyFont="1" applyFill="1" applyBorder="1" applyAlignment="1">
      <alignment horizontal="center" vertical="center"/>
    </xf>
    <xf numFmtId="178" fontId="13" fillId="6" borderId="8" xfId="0" applyNumberFormat="1" applyFont="1" applyFill="1" applyBorder="1" applyAlignment="1">
      <alignment horizontal="center" vertical="center"/>
    </xf>
    <xf numFmtId="178" fontId="13" fillId="6" borderId="13" xfId="0" applyNumberFormat="1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176" fontId="24" fillId="2" borderId="10" xfId="1" applyNumberFormat="1" applyFont="1" applyBorder="1" applyAlignment="1">
      <alignment horizontal="center" vertical="center"/>
    </xf>
    <xf numFmtId="176" fontId="24" fillId="2" borderId="6" xfId="1" applyNumberFormat="1" applyFont="1" applyBorder="1" applyAlignment="1">
      <alignment horizontal="center" vertical="center"/>
    </xf>
    <xf numFmtId="176" fontId="24" fillId="2" borderId="11" xfId="1" applyNumberFormat="1" applyFont="1" applyBorder="1" applyAlignment="1">
      <alignment horizontal="center" vertical="center"/>
    </xf>
    <xf numFmtId="176" fontId="13" fillId="4" borderId="10" xfId="0" applyNumberFormat="1" applyFont="1" applyFill="1" applyBorder="1" applyAlignment="1">
      <alignment horizontal="center" vertical="center"/>
    </xf>
    <xf numFmtId="176" fontId="13" fillId="4" borderId="6" xfId="0" applyNumberFormat="1" applyFont="1" applyFill="1" applyBorder="1" applyAlignment="1">
      <alignment horizontal="center" vertical="center"/>
    </xf>
    <xf numFmtId="176" fontId="13" fillId="4" borderId="11" xfId="0" applyNumberFormat="1" applyFont="1" applyFill="1" applyBorder="1" applyAlignment="1">
      <alignment horizontal="center" vertical="center"/>
    </xf>
    <xf numFmtId="176" fontId="13" fillId="6" borderId="4" xfId="0" applyNumberFormat="1" applyFont="1" applyFill="1" applyBorder="1" applyAlignment="1">
      <alignment horizontal="center" vertical="center"/>
    </xf>
    <xf numFmtId="176" fontId="13" fillId="6" borderId="30" xfId="0" applyNumberFormat="1" applyFont="1" applyFill="1" applyBorder="1" applyAlignment="1">
      <alignment horizontal="center" vertical="center"/>
    </xf>
    <xf numFmtId="176" fontId="13" fillId="6" borderId="12" xfId="0" applyNumberFormat="1" applyFont="1" applyFill="1" applyBorder="1" applyAlignment="1">
      <alignment horizontal="center" vertical="center"/>
    </xf>
    <xf numFmtId="179" fontId="13" fillId="4" borderId="10" xfId="0" applyNumberFormat="1" applyFont="1" applyFill="1" applyBorder="1" applyAlignment="1">
      <alignment horizontal="center" vertical="center"/>
    </xf>
    <xf numFmtId="179" fontId="13" fillId="4" borderId="6" xfId="0" applyNumberFormat="1" applyFont="1" applyFill="1" applyBorder="1" applyAlignment="1">
      <alignment horizontal="center" vertical="center"/>
    </xf>
    <xf numFmtId="179" fontId="13" fillId="4" borderId="11" xfId="0" applyNumberFormat="1" applyFont="1" applyFill="1" applyBorder="1" applyAlignment="1">
      <alignment horizontal="center" vertical="center"/>
    </xf>
    <xf numFmtId="180" fontId="43" fillId="6" borderId="21" xfId="0" applyNumberFormat="1" applyFont="1" applyFill="1" applyBorder="1" applyAlignment="1">
      <alignment horizontal="center" vertical="center"/>
    </xf>
    <xf numFmtId="179" fontId="43" fillId="4" borderId="28" xfId="0" applyNumberFormat="1" applyFont="1" applyFill="1" applyBorder="1" applyAlignment="1">
      <alignment horizontal="center" vertical="center"/>
    </xf>
    <xf numFmtId="179" fontId="43" fillId="4" borderId="29" xfId="0" applyNumberFormat="1" applyFont="1" applyFill="1" applyBorder="1" applyAlignment="1">
      <alignment horizontal="center" vertical="center"/>
    </xf>
    <xf numFmtId="176" fontId="36" fillId="5" borderId="0" xfId="0" applyNumberFormat="1" applyFont="1" applyFill="1" applyAlignment="1">
      <alignment horizontal="center" vertical="center"/>
    </xf>
    <xf numFmtId="176" fontId="36" fillId="5" borderId="28" xfId="0" applyNumberFormat="1" applyFont="1" applyFill="1" applyBorder="1" applyAlignment="1">
      <alignment horizontal="center" vertical="center"/>
    </xf>
    <xf numFmtId="176" fontId="36" fillId="5" borderId="29" xfId="0" applyNumberFormat="1" applyFont="1" applyFill="1" applyBorder="1" applyAlignment="1">
      <alignment horizontal="center" vertical="center"/>
    </xf>
    <xf numFmtId="179" fontId="35" fillId="3" borderId="21" xfId="0" applyNumberFormat="1" applyFont="1" applyFill="1" applyBorder="1" applyAlignment="1">
      <alignment horizontal="center" vertical="center"/>
    </xf>
    <xf numFmtId="176" fontId="36" fillId="5" borderId="21" xfId="0" applyNumberFormat="1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176" fontId="35" fillId="4" borderId="21" xfId="0" applyNumberFormat="1" applyFont="1" applyFill="1" applyBorder="1" applyAlignment="1">
      <alignment horizontal="center" vertical="center"/>
    </xf>
    <xf numFmtId="176" fontId="35" fillId="6" borderId="21" xfId="0" applyNumberFormat="1" applyFont="1" applyFill="1" applyBorder="1" applyAlignment="1">
      <alignment horizontal="center" vertical="center"/>
    </xf>
    <xf numFmtId="180" fontId="35" fillId="6" borderId="21" xfId="0" applyNumberFormat="1" applyFont="1" applyFill="1" applyBorder="1" applyAlignment="1">
      <alignment horizontal="center" vertical="center"/>
    </xf>
    <xf numFmtId="176" fontId="24" fillId="2" borderId="0" xfId="1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176" fontId="43" fillId="6" borderId="21" xfId="0" applyNumberFormat="1" applyFont="1" applyFill="1" applyBorder="1" applyAlignment="1">
      <alignment horizontal="center" vertical="center"/>
    </xf>
    <xf numFmtId="176" fontId="17" fillId="2" borderId="6" xfId="1" applyNumberFormat="1" applyFont="1" applyBorder="1" applyAlignment="1">
      <alignment horizontal="center" vertical="center"/>
    </xf>
    <xf numFmtId="176" fontId="31" fillId="2" borderId="21" xfId="1" applyNumberFormat="1" applyFont="1" applyBorder="1" applyAlignment="1">
      <alignment horizontal="center" vertical="center"/>
    </xf>
    <xf numFmtId="176" fontId="23" fillId="2" borderId="2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</cellXfs>
  <cellStyles count="5">
    <cellStyle name="アクセント 5" xfId="1" builtinId="45"/>
    <cellStyle name="パーセント" xfId="4" builtinId="5"/>
    <cellStyle name="通貨 2" xfId="2" xr:uid="{912E01DF-7F9C-4CE6-B6EF-80D8686385EA}"/>
    <cellStyle name="通貨 3" xfId="3" xr:uid="{32C3EABE-EB11-402C-BDB1-E62014304D48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15406927"/>
        <c:axId val="215407407"/>
      </c:scatterChart>
      <c:valAx>
        <c:axId val="21540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5407407"/>
        <c:crosses val="autoZero"/>
        <c:crossBetween val="midCat"/>
      </c:valAx>
      <c:valAx>
        <c:axId val="21540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5406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187325</xdr:colOff>
      <xdr:row>56</xdr:row>
      <xdr:rowOff>76200</xdr:rowOff>
    </xdr:from>
    <xdr:to>
      <xdr:col>15</xdr:col>
      <xdr:colOff>257175</xdr:colOff>
      <xdr:row>56</xdr:row>
      <xdr:rowOff>76200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EBF5F15D-DC88-5E6A-467E-6778E9C8C590}"/>
            </a:ext>
          </a:extLst>
        </xdr:cNvPr>
        <xdr:cNvCxnSpPr/>
      </xdr:nvCxnSpPr>
      <xdr:spPr>
        <a:xfrm>
          <a:off x="3435350" y="11287125"/>
          <a:ext cx="1250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56</xdr:row>
      <xdr:rowOff>85725</xdr:rowOff>
    </xdr:from>
    <xdr:to>
      <xdr:col>9</xdr:col>
      <xdr:colOff>234950</xdr:colOff>
      <xdr:row>56</xdr:row>
      <xdr:rowOff>85725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CFA6BD3A-CA28-463E-9905-9A1DA9DAA0DE}"/>
            </a:ext>
          </a:extLst>
        </xdr:cNvPr>
        <xdr:cNvCxnSpPr/>
      </xdr:nvCxnSpPr>
      <xdr:spPr>
        <a:xfrm>
          <a:off x="1428750" y="11058525"/>
          <a:ext cx="1978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82550</xdr:rowOff>
    </xdr:from>
    <xdr:to>
      <xdr:col>16</xdr:col>
      <xdr:colOff>85725</xdr:colOff>
      <xdr:row>8</xdr:row>
      <xdr:rowOff>85725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EB4E54B6-030F-41A6-ACA7-E69C5A665D18}"/>
            </a:ext>
          </a:extLst>
        </xdr:cNvPr>
        <xdr:cNvCxnSpPr/>
      </xdr:nvCxnSpPr>
      <xdr:spPr>
        <a:xfrm>
          <a:off x="3524250" y="1825625"/>
          <a:ext cx="2200275" cy="3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169430</xdr:colOff>
      <xdr:row>38</xdr:row>
      <xdr:rowOff>75045</xdr:rowOff>
    </xdr:from>
    <xdr:to>
      <xdr:col>27</xdr:col>
      <xdr:colOff>398318</xdr:colOff>
      <xdr:row>38</xdr:row>
      <xdr:rowOff>95250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EBB50AC8-CFAF-4FFF-8BFB-4D473BF1433F}"/>
            </a:ext>
          </a:extLst>
        </xdr:cNvPr>
        <xdr:cNvCxnSpPr/>
      </xdr:nvCxnSpPr>
      <xdr:spPr>
        <a:xfrm>
          <a:off x="6118225" y="5556250"/>
          <a:ext cx="5632161" cy="2020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173181</xdr:colOff>
      <xdr:row>5</xdr:row>
      <xdr:rowOff>60614</xdr:rowOff>
    </xdr:from>
    <xdr:to>
      <xdr:col>23</xdr:col>
      <xdr:colOff>0</xdr:colOff>
      <xdr:row>5</xdr:row>
      <xdr:rowOff>63789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F184D2DC-124B-4A6F-BB44-DDB9DF271AD3}"/>
            </a:ext>
          </a:extLst>
        </xdr:cNvPr>
        <xdr:cNvCxnSpPr/>
      </xdr:nvCxnSpPr>
      <xdr:spPr>
        <a:xfrm flipV="1">
          <a:off x="3870613" y="926523"/>
          <a:ext cx="5680364" cy="3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86592</xdr:colOff>
      <xdr:row>6</xdr:row>
      <xdr:rowOff>86880</xdr:rowOff>
    </xdr:from>
    <xdr:to>
      <xdr:col>28</xdr:col>
      <xdr:colOff>273916</xdr:colOff>
      <xdr:row>6</xdr:row>
      <xdr:rowOff>86880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7A8FF22-F0F9-4B36-8BD0-540F3D800DC1}"/>
            </a:ext>
          </a:extLst>
        </xdr:cNvPr>
        <xdr:cNvCxnSpPr/>
      </xdr:nvCxnSpPr>
      <xdr:spPr>
        <a:xfrm>
          <a:off x="1350819" y="1195244"/>
          <a:ext cx="291493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42862</xdr:colOff>
      <xdr:row>8</xdr:row>
      <xdr:rowOff>204787</xdr:rowOff>
    </xdr:from>
    <xdr:to>
      <xdr:col>17</xdr:col>
      <xdr:colOff>14287</xdr:colOff>
      <xdr:row>20</xdr:row>
      <xdr:rowOff>204787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E53863C-678E-1333-3928-5358B999A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EB02-93E6-40FD-849B-0C210FAE9DAC}">
  <sheetPr>
    <pageSetUpPr fitToPage="1"/>
  </sheetPr>
  <dimension ref="C1:Z112"/>
  <sheetViews>
    <sheetView topLeftCell="A87" zoomScale="80" zoomScaleNormal="80" workbookViewId="0">
      <selection activeCell="D25" sqref="D25:D26"/>
    </sheetView>
  </sheetViews>
  <sheetFormatPr defaultRowHeight="18" x14ac:dyDescent="0.55000000000000004"/>
  <cols>
    <col min="3" max="5" width="9.58203125" customWidth="1"/>
    <col min="6" max="7" width="9.58203125" style="1" customWidth="1"/>
    <col min="8" max="8" width="9.75" style="1" customWidth="1"/>
    <col min="9" max="21" width="9.58203125" style="1" customWidth="1"/>
    <col min="22" max="22" width="37.08203125" customWidth="1"/>
    <col min="27" max="27" width="13.6640625" customWidth="1"/>
  </cols>
  <sheetData>
    <row r="1" spans="3:22" x14ac:dyDescent="0.55000000000000004">
      <c r="V1" s="4"/>
    </row>
    <row r="2" spans="3:22" x14ac:dyDescent="0.55000000000000004">
      <c r="C2" s="231" t="s">
        <v>0</v>
      </c>
      <c r="D2" s="231"/>
      <c r="E2" s="6" t="s">
        <v>9</v>
      </c>
      <c r="F2" s="5" t="s">
        <v>4</v>
      </c>
      <c r="G2" s="5" t="s">
        <v>5</v>
      </c>
      <c r="H2" s="5" t="s">
        <v>6</v>
      </c>
      <c r="I2" s="5" t="s">
        <v>7</v>
      </c>
      <c r="J2" s="6" t="s">
        <v>9</v>
      </c>
      <c r="K2" s="5" t="s">
        <v>8</v>
      </c>
      <c r="L2" s="5" t="s">
        <v>10</v>
      </c>
      <c r="M2" s="5" t="s">
        <v>11</v>
      </c>
      <c r="N2" s="6" t="s">
        <v>9</v>
      </c>
      <c r="O2" s="5" t="s">
        <v>12</v>
      </c>
      <c r="P2" s="5" t="s">
        <v>13</v>
      </c>
      <c r="Q2" s="5" t="s">
        <v>14</v>
      </c>
      <c r="R2" s="6" t="s">
        <v>9</v>
      </c>
      <c r="S2" s="5" t="s">
        <v>15</v>
      </c>
      <c r="T2" s="5" t="s">
        <v>16</v>
      </c>
      <c r="U2" s="5" t="s">
        <v>4</v>
      </c>
      <c r="V2" s="27" t="s">
        <v>120</v>
      </c>
    </row>
    <row r="3" spans="3:22" ht="18" customHeight="1" x14ac:dyDescent="0.55000000000000004">
      <c r="C3" s="241" t="s">
        <v>1</v>
      </c>
      <c r="D3" s="239" t="s">
        <v>18</v>
      </c>
      <c r="E3" s="230">
        <v>4</v>
      </c>
      <c r="F3" s="7">
        <v>4</v>
      </c>
      <c r="G3" s="7">
        <v>3</v>
      </c>
      <c r="H3" s="7">
        <v>3</v>
      </c>
      <c r="I3" s="7">
        <v>5</v>
      </c>
      <c r="J3" s="230">
        <v>4</v>
      </c>
      <c r="K3" s="7">
        <v>4</v>
      </c>
      <c r="L3" s="7">
        <v>4</v>
      </c>
      <c r="M3" s="7">
        <v>3</v>
      </c>
      <c r="N3" s="230">
        <v>4</v>
      </c>
      <c r="O3" s="7">
        <v>1</v>
      </c>
      <c r="P3" s="7"/>
      <c r="Q3" s="7"/>
      <c r="R3" s="230"/>
      <c r="S3" s="7"/>
      <c r="T3" s="7"/>
      <c r="U3" s="7"/>
      <c r="V3" s="3" t="s">
        <v>20</v>
      </c>
    </row>
    <row r="4" spans="3:22" ht="18" customHeight="1" x14ac:dyDescent="0.55000000000000004">
      <c r="C4" s="242"/>
      <c r="D4" s="240"/>
      <c r="E4" s="230"/>
      <c r="F4" s="8">
        <f>F3-E3</f>
        <v>0</v>
      </c>
      <c r="G4" s="9">
        <f>G3-E3</f>
        <v>-1</v>
      </c>
      <c r="H4" s="9">
        <f>H3-E3</f>
        <v>-1</v>
      </c>
      <c r="I4" s="8">
        <f>I3-E3</f>
        <v>1</v>
      </c>
      <c r="J4" s="230"/>
      <c r="K4" s="15">
        <f>K3-E3</f>
        <v>0</v>
      </c>
      <c r="L4" s="15">
        <f>L3-E3</f>
        <v>0</v>
      </c>
      <c r="M4" s="9">
        <f>M3-E3</f>
        <v>-1</v>
      </c>
      <c r="N4" s="230"/>
      <c r="O4" s="9">
        <f>O3-N3</f>
        <v>-3</v>
      </c>
      <c r="P4" s="10"/>
      <c r="Q4" s="10"/>
      <c r="R4" s="230"/>
      <c r="S4" s="10"/>
      <c r="T4" s="10"/>
      <c r="U4" s="10"/>
      <c r="V4" s="29" t="s">
        <v>135</v>
      </c>
    </row>
    <row r="5" spans="3:22" ht="18" customHeight="1" x14ac:dyDescent="0.55000000000000004">
      <c r="C5" s="242"/>
      <c r="D5" s="232" t="s">
        <v>17</v>
      </c>
      <c r="E5" s="230">
        <v>590</v>
      </c>
      <c r="F5" s="11">
        <v>590</v>
      </c>
      <c r="G5" s="11">
        <v>460</v>
      </c>
      <c r="H5" s="11">
        <v>460</v>
      </c>
      <c r="I5" s="11">
        <v>755</v>
      </c>
      <c r="J5" s="230">
        <v>590</v>
      </c>
      <c r="K5" s="11">
        <v>625</v>
      </c>
      <c r="L5" s="11">
        <v>625</v>
      </c>
      <c r="M5" s="11">
        <v>495</v>
      </c>
      <c r="N5" s="230"/>
      <c r="O5" s="11">
        <v>495</v>
      </c>
      <c r="P5" s="12"/>
      <c r="Q5" s="12"/>
      <c r="R5" s="230"/>
      <c r="S5" s="12"/>
      <c r="T5" s="12"/>
      <c r="U5" s="12"/>
      <c r="V5" s="2" t="s">
        <v>136</v>
      </c>
    </row>
    <row r="6" spans="3:22" ht="18" customHeight="1" x14ac:dyDescent="0.55000000000000004">
      <c r="C6" s="242"/>
      <c r="D6" s="233"/>
      <c r="E6" s="230"/>
      <c r="F6" s="11">
        <f>F5-E5</f>
        <v>0</v>
      </c>
      <c r="G6" s="13">
        <f>G5-E5</f>
        <v>-130</v>
      </c>
      <c r="H6" s="13">
        <f>H5-E5</f>
        <v>-130</v>
      </c>
      <c r="I6" s="11">
        <f>I5-E5</f>
        <v>165</v>
      </c>
      <c r="J6" s="230"/>
      <c r="K6" s="18">
        <f>K5-J5</f>
        <v>35</v>
      </c>
      <c r="L6" s="18">
        <f>L5-E5</f>
        <v>35</v>
      </c>
      <c r="M6" s="13">
        <f>M5-E5</f>
        <v>-95</v>
      </c>
      <c r="N6" s="230"/>
      <c r="O6" s="13">
        <f>O5-G5</f>
        <v>35</v>
      </c>
      <c r="P6" s="12"/>
      <c r="Q6" s="12"/>
      <c r="R6" s="230"/>
      <c r="S6" s="12"/>
      <c r="T6" s="12"/>
      <c r="U6" s="12"/>
      <c r="V6" s="2" t="s">
        <v>137</v>
      </c>
    </row>
    <row r="7" spans="3:22" ht="18" customHeight="1" x14ac:dyDescent="0.55000000000000004">
      <c r="C7" s="242"/>
      <c r="D7" s="239" t="s">
        <v>19</v>
      </c>
      <c r="E7" s="230">
        <v>6</v>
      </c>
      <c r="F7" s="7">
        <v>6</v>
      </c>
      <c r="G7" s="7">
        <v>6</v>
      </c>
      <c r="H7" s="7">
        <v>5</v>
      </c>
      <c r="I7" s="7">
        <v>4</v>
      </c>
      <c r="J7" s="230">
        <v>4</v>
      </c>
      <c r="K7" s="7">
        <v>4</v>
      </c>
      <c r="L7" s="7">
        <v>4</v>
      </c>
      <c r="M7" s="7">
        <v>4</v>
      </c>
      <c r="N7" s="230"/>
      <c r="O7" s="7">
        <v>4</v>
      </c>
      <c r="P7" s="7"/>
      <c r="Q7" s="7"/>
      <c r="R7" s="230"/>
      <c r="S7" s="7"/>
      <c r="T7" s="7"/>
      <c r="U7" s="7"/>
      <c r="V7" s="2" t="s">
        <v>138</v>
      </c>
    </row>
    <row r="8" spans="3:22" ht="18" customHeight="1" x14ac:dyDescent="0.55000000000000004">
      <c r="C8" s="242"/>
      <c r="D8" s="240"/>
      <c r="E8" s="230"/>
      <c r="F8" s="7">
        <f>F7-E7</f>
        <v>0</v>
      </c>
      <c r="G8" s="8">
        <f>G7-E7</f>
        <v>0</v>
      </c>
      <c r="H8" s="8">
        <f>H7-E7</f>
        <v>-1</v>
      </c>
      <c r="I8" s="9">
        <f>I7-E7</f>
        <v>-2</v>
      </c>
      <c r="J8" s="230"/>
      <c r="K8" s="8">
        <f>K7-J7</f>
        <v>0</v>
      </c>
      <c r="L8" s="8">
        <f>L7-J7</f>
        <v>0</v>
      </c>
      <c r="M8" s="8">
        <f>M7-L7</f>
        <v>0</v>
      </c>
      <c r="N8" s="230"/>
      <c r="O8" s="8">
        <f>O7-N7</f>
        <v>4</v>
      </c>
      <c r="P8" s="10"/>
      <c r="Q8" s="10"/>
      <c r="R8" s="230"/>
      <c r="S8" s="10"/>
      <c r="T8" s="10"/>
      <c r="U8" s="10"/>
      <c r="V8" s="2"/>
    </row>
    <row r="9" spans="3:22" ht="18" customHeight="1" x14ac:dyDescent="0.55000000000000004">
      <c r="C9" s="242"/>
      <c r="D9" s="232" t="s">
        <v>17</v>
      </c>
      <c r="E9" s="230">
        <v>325</v>
      </c>
      <c r="F9" s="14">
        <v>325</v>
      </c>
      <c r="G9" s="11">
        <v>325</v>
      </c>
      <c r="H9" s="11">
        <v>265</v>
      </c>
      <c r="I9" s="11">
        <v>205</v>
      </c>
      <c r="J9" s="230">
        <v>325</v>
      </c>
      <c r="K9" s="11">
        <v>205</v>
      </c>
      <c r="L9" s="11">
        <v>205</v>
      </c>
      <c r="M9" s="11">
        <v>205</v>
      </c>
      <c r="N9" s="230"/>
      <c r="O9" s="11">
        <v>205</v>
      </c>
      <c r="P9" s="12"/>
      <c r="Q9" s="12"/>
      <c r="R9" s="230"/>
      <c r="S9" s="12"/>
      <c r="T9" s="12"/>
      <c r="U9" s="12"/>
      <c r="V9" s="2"/>
    </row>
    <row r="10" spans="3:22" ht="18" customHeight="1" x14ac:dyDescent="0.55000000000000004">
      <c r="C10" s="242"/>
      <c r="D10" s="233"/>
      <c r="E10" s="230"/>
      <c r="F10" s="14">
        <f>F9-E9</f>
        <v>0</v>
      </c>
      <c r="G10" s="11">
        <f>G9-E9</f>
        <v>0</v>
      </c>
      <c r="H10" s="11">
        <f>H9-E9</f>
        <v>-60</v>
      </c>
      <c r="I10" s="13">
        <f>I9-E9</f>
        <v>-120</v>
      </c>
      <c r="J10" s="230"/>
      <c r="K10" s="13">
        <f>K9-E9</f>
        <v>-120</v>
      </c>
      <c r="L10" s="13">
        <f>L9-E9</f>
        <v>-120</v>
      </c>
      <c r="M10" s="13">
        <f>M9-E9</f>
        <v>-120</v>
      </c>
      <c r="N10" s="230"/>
      <c r="O10" s="13">
        <f>O9-G9</f>
        <v>-120</v>
      </c>
      <c r="P10" s="12"/>
      <c r="Q10" s="12"/>
      <c r="R10" s="230"/>
      <c r="S10" s="12"/>
      <c r="T10" s="12"/>
      <c r="U10" s="12"/>
    </row>
    <row r="11" spans="3:22" ht="128.5" customHeight="1" x14ac:dyDescent="0.55000000000000004">
      <c r="C11" s="243"/>
      <c r="D11" s="243"/>
      <c r="E11" s="243"/>
      <c r="F11" s="236" t="s">
        <v>151</v>
      </c>
      <c r="G11" s="236"/>
      <c r="H11" s="236" t="s">
        <v>139</v>
      </c>
      <c r="I11" s="237"/>
      <c r="J11" s="237" t="s">
        <v>91</v>
      </c>
      <c r="K11" s="237"/>
      <c r="L11" s="236" t="s">
        <v>93</v>
      </c>
      <c r="M11" s="237"/>
      <c r="N11" s="237" t="s">
        <v>91</v>
      </c>
      <c r="O11" s="237"/>
      <c r="P11" s="237" t="s">
        <v>92</v>
      </c>
      <c r="Q11" s="237"/>
      <c r="R11" s="237" t="s">
        <v>91</v>
      </c>
      <c r="S11" s="237"/>
      <c r="T11" s="237" t="s">
        <v>92</v>
      </c>
      <c r="U11" s="237"/>
      <c r="V11" s="2"/>
    </row>
    <row r="12" spans="3:22" ht="17" customHeight="1" x14ac:dyDescent="0.55000000000000004">
      <c r="C12" s="39"/>
      <c r="D12" s="39"/>
      <c r="E12" s="39"/>
      <c r="F12" s="37"/>
      <c r="G12" s="37"/>
      <c r="H12" s="37"/>
      <c r="I12" s="38"/>
      <c r="J12" s="38"/>
      <c r="K12" s="38"/>
      <c r="L12" s="37"/>
      <c r="M12" s="38"/>
      <c r="N12" s="38"/>
      <c r="O12" s="38"/>
      <c r="P12" s="38"/>
      <c r="Q12" s="38"/>
      <c r="R12" s="38"/>
      <c r="S12" s="38"/>
      <c r="T12" s="38"/>
      <c r="U12" s="38"/>
      <c r="V12" s="2"/>
    </row>
    <row r="13" spans="3:22" ht="17" customHeight="1" x14ac:dyDescent="0.55000000000000004">
      <c r="C13" s="39"/>
      <c r="D13" s="39"/>
      <c r="E13" s="39"/>
      <c r="F13" s="37"/>
      <c r="G13" s="37"/>
      <c r="H13" s="37"/>
      <c r="I13" s="38"/>
      <c r="J13" s="38"/>
      <c r="K13" s="38"/>
      <c r="L13" s="37"/>
      <c r="M13" s="38"/>
      <c r="N13" s="38"/>
      <c r="O13" s="38"/>
      <c r="P13" s="38"/>
      <c r="Q13" s="38"/>
      <c r="R13" s="38"/>
      <c r="S13" s="38"/>
      <c r="T13" s="38"/>
      <c r="U13" s="38"/>
      <c r="V13" s="2"/>
    </row>
    <row r="14" spans="3:22" ht="17" customHeight="1" x14ac:dyDescent="0.55000000000000004">
      <c r="C14" s="39"/>
      <c r="D14" s="39"/>
      <c r="E14" s="39"/>
      <c r="F14" s="37"/>
      <c r="G14" s="37"/>
      <c r="H14" s="37"/>
      <c r="I14" s="38"/>
      <c r="J14" s="38"/>
      <c r="K14" s="38"/>
      <c r="L14" s="37"/>
      <c r="M14" s="38"/>
      <c r="N14" s="38"/>
      <c r="O14" s="38"/>
      <c r="P14" s="38"/>
      <c r="Q14" s="38"/>
      <c r="R14" s="38"/>
      <c r="S14" s="38"/>
      <c r="T14" s="38"/>
      <c r="U14" s="38"/>
      <c r="V14" s="2"/>
    </row>
    <row r="15" spans="3:22" ht="17" customHeight="1" x14ac:dyDescent="0.55000000000000004">
      <c r="C15" s="39"/>
      <c r="D15" s="39"/>
      <c r="E15" s="39"/>
      <c r="F15" s="37"/>
      <c r="G15" s="37"/>
      <c r="H15" s="37"/>
      <c r="I15" s="38"/>
      <c r="J15" s="38"/>
      <c r="K15" s="38"/>
      <c r="L15" s="37"/>
      <c r="M15" s="38"/>
      <c r="N15" s="38"/>
      <c r="O15" s="38"/>
      <c r="P15" s="38"/>
      <c r="Q15" s="38"/>
      <c r="R15" s="38"/>
      <c r="S15" s="38"/>
      <c r="T15" s="38"/>
      <c r="U15" s="38"/>
      <c r="V15" s="2"/>
    </row>
    <row r="16" spans="3:22" ht="19" customHeight="1" x14ac:dyDescent="0.55000000000000004">
      <c r="C16" s="39"/>
      <c r="D16" s="39"/>
      <c r="E16" s="39"/>
      <c r="F16" s="37"/>
      <c r="G16" s="37"/>
      <c r="H16" s="37"/>
      <c r="I16" s="38"/>
      <c r="J16" s="38"/>
      <c r="K16" s="38"/>
      <c r="L16" s="37"/>
      <c r="M16" s="38"/>
      <c r="N16" s="38"/>
      <c r="O16" s="38"/>
      <c r="P16" s="38"/>
      <c r="Q16" s="38"/>
      <c r="R16" s="38"/>
      <c r="S16" s="38"/>
      <c r="T16" s="38"/>
      <c r="U16" s="38"/>
      <c r="V16" s="2"/>
    </row>
    <row r="17" spans="3:22" ht="19" customHeight="1" x14ac:dyDescent="0.55000000000000004">
      <c r="C17" s="39"/>
      <c r="D17" s="39"/>
      <c r="E17" s="39"/>
      <c r="F17" s="37"/>
      <c r="G17" s="37"/>
      <c r="H17" s="37"/>
      <c r="I17" s="38"/>
      <c r="J17" s="38"/>
      <c r="K17" s="38"/>
      <c r="L17" s="37"/>
      <c r="M17" s="38"/>
      <c r="N17" s="38"/>
      <c r="O17" s="38"/>
      <c r="P17" s="38"/>
      <c r="Q17" s="38"/>
      <c r="R17" s="38"/>
      <c r="S17" s="38"/>
      <c r="T17" s="38"/>
      <c r="U17" s="38"/>
      <c r="V17" s="2"/>
    </row>
    <row r="18" spans="3:22" ht="16" customHeight="1" x14ac:dyDescent="0.55000000000000004">
      <c r="C18" s="39"/>
      <c r="D18" s="39"/>
      <c r="E18" s="39"/>
      <c r="F18" s="37"/>
      <c r="G18" s="37"/>
      <c r="H18" s="37"/>
      <c r="I18" s="38"/>
      <c r="J18" s="38"/>
      <c r="K18" s="38"/>
      <c r="L18" s="37"/>
      <c r="M18" s="38"/>
      <c r="N18" s="38"/>
      <c r="O18" s="38"/>
      <c r="P18" s="38"/>
      <c r="Q18" s="38"/>
      <c r="R18" s="38"/>
      <c r="S18" s="38"/>
      <c r="T18" s="38"/>
      <c r="U18" s="38"/>
      <c r="V18" s="2"/>
    </row>
    <row r="19" spans="3:22" ht="17.5" customHeight="1" x14ac:dyDescent="0.55000000000000004">
      <c r="C19" s="39"/>
      <c r="D19" s="39"/>
      <c r="E19" s="39"/>
      <c r="F19" s="37"/>
      <c r="G19" s="37"/>
      <c r="H19" s="37"/>
      <c r="I19" s="38"/>
      <c r="J19" s="38"/>
      <c r="K19" s="38"/>
      <c r="L19" s="37"/>
      <c r="M19" s="38"/>
      <c r="N19" s="38"/>
      <c r="O19" s="38"/>
      <c r="P19" s="38"/>
      <c r="Q19" s="38"/>
      <c r="R19" s="38"/>
      <c r="S19" s="38"/>
      <c r="T19" s="38"/>
      <c r="U19" s="38"/>
      <c r="V19" s="2"/>
    </row>
    <row r="20" spans="3:22" ht="18" customHeight="1" x14ac:dyDescent="0.55000000000000004">
      <c r="C20" s="231" t="s">
        <v>0</v>
      </c>
      <c r="D20" s="231"/>
      <c r="E20" s="6" t="s">
        <v>9</v>
      </c>
      <c r="F20" s="5" t="s">
        <v>4</v>
      </c>
      <c r="G20" s="5" t="s">
        <v>5</v>
      </c>
      <c r="H20" s="5" t="s">
        <v>6</v>
      </c>
      <c r="I20" s="5" t="s">
        <v>7</v>
      </c>
      <c r="J20" s="6" t="s">
        <v>9</v>
      </c>
      <c r="K20" s="5" t="s">
        <v>8</v>
      </c>
      <c r="L20" s="5" t="s">
        <v>10</v>
      </c>
      <c r="M20" s="5" t="s">
        <v>11</v>
      </c>
      <c r="N20" s="6" t="s">
        <v>9</v>
      </c>
      <c r="O20" s="5" t="s">
        <v>12</v>
      </c>
      <c r="P20" s="5" t="s">
        <v>13</v>
      </c>
      <c r="Q20" s="5" t="s">
        <v>14</v>
      </c>
      <c r="R20" s="6" t="s">
        <v>9</v>
      </c>
      <c r="S20" s="5" t="s">
        <v>15</v>
      </c>
      <c r="T20" s="5" t="s">
        <v>16</v>
      </c>
      <c r="U20" s="5" t="s">
        <v>4</v>
      </c>
      <c r="V20" s="2"/>
    </row>
    <row r="21" spans="3:22" ht="18" customHeight="1" x14ac:dyDescent="0.55000000000000004">
      <c r="C21" s="241" t="s">
        <v>90</v>
      </c>
      <c r="D21" s="239" t="s">
        <v>18</v>
      </c>
      <c r="E21" s="230">
        <v>1</v>
      </c>
      <c r="F21" s="7">
        <v>1</v>
      </c>
      <c r="G21" s="7">
        <v>1</v>
      </c>
      <c r="H21" s="7">
        <v>1</v>
      </c>
      <c r="I21" s="7">
        <v>1</v>
      </c>
      <c r="J21" s="230">
        <v>1</v>
      </c>
      <c r="K21" s="7">
        <v>1</v>
      </c>
      <c r="L21" s="7">
        <v>1</v>
      </c>
      <c r="M21" s="7">
        <v>1</v>
      </c>
      <c r="N21" s="230"/>
      <c r="O21" s="7"/>
      <c r="P21" s="7"/>
      <c r="Q21" s="7"/>
      <c r="R21" s="230"/>
      <c r="S21" s="7"/>
      <c r="T21" s="7"/>
      <c r="U21" s="7"/>
      <c r="V21" s="2"/>
    </row>
    <row r="22" spans="3:22" ht="18" customHeight="1" x14ac:dyDescent="0.55000000000000004">
      <c r="C22" s="242"/>
      <c r="D22" s="240"/>
      <c r="E22" s="230"/>
      <c r="F22" s="8">
        <f>F21-E21</f>
        <v>0</v>
      </c>
      <c r="G22" s="8">
        <f>G21-E21</f>
        <v>0</v>
      </c>
      <c r="H22" s="8">
        <f>H21-F21</f>
        <v>0</v>
      </c>
      <c r="I22" s="8">
        <f>I21-E21</f>
        <v>0</v>
      </c>
      <c r="J22" s="230"/>
      <c r="K22" s="8">
        <f>K21-E21</f>
        <v>0</v>
      </c>
      <c r="L22" s="8">
        <f>L21-E21</f>
        <v>0</v>
      </c>
      <c r="M22" s="8">
        <f>M21-E21</f>
        <v>0</v>
      </c>
      <c r="N22" s="230"/>
      <c r="O22" s="10"/>
      <c r="P22" s="10"/>
      <c r="Q22" s="10"/>
      <c r="R22" s="230"/>
      <c r="S22" s="10"/>
      <c r="T22" s="10"/>
      <c r="U22" s="10"/>
      <c r="V22" s="2"/>
    </row>
    <row r="23" spans="3:22" ht="18" customHeight="1" x14ac:dyDescent="0.55000000000000004">
      <c r="C23" s="242"/>
      <c r="D23" s="232" t="s">
        <v>17</v>
      </c>
      <c r="E23" s="230">
        <v>165</v>
      </c>
      <c r="F23" s="11">
        <v>165</v>
      </c>
      <c r="G23" s="11">
        <v>165</v>
      </c>
      <c r="H23" s="11">
        <v>165</v>
      </c>
      <c r="I23" s="11">
        <v>165</v>
      </c>
      <c r="J23" s="230">
        <v>165</v>
      </c>
      <c r="K23" s="11">
        <v>165</v>
      </c>
      <c r="L23" s="11">
        <v>165</v>
      </c>
      <c r="M23" s="11">
        <v>165</v>
      </c>
      <c r="N23" s="230"/>
      <c r="O23" s="12"/>
      <c r="P23" s="12"/>
      <c r="Q23" s="12"/>
      <c r="R23" s="230"/>
      <c r="S23" s="12"/>
      <c r="T23" s="12"/>
      <c r="U23" s="12"/>
      <c r="V23" s="2"/>
    </row>
    <row r="24" spans="3:22" ht="18" customHeight="1" x14ac:dyDescent="0.55000000000000004">
      <c r="C24" s="242"/>
      <c r="D24" s="233"/>
      <c r="E24" s="230"/>
      <c r="F24" s="11">
        <f>F23-E23</f>
        <v>0</v>
      </c>
      <c r="G24" s="11">
        <f>G23-E23</f>
        <v>0</v>
      </c>
      <c r="H24" s="11">
        <f>H23-E23</f>
        <v>0</v>
      </c>
      <c r="I24" s="11">
        <f>I23-E23</f>
        <v>0</v>
      </c>
      <c r="J24" s="230"/>
      <c r="K24" s="11">
        <f>K23-E23</f>
        <v>0</v>
      </c>
      <c r="L24" s="11">
        <f>L23-E23</f>
        <v>0</v>
      </c>
      <c r="M24" s="11">
        <f>M23-E23</f>
        <v>0</v>
      </c>
      <c r="N24" s="230"/>
      <c r="O24" s="12"/>
      <c r="P24" s="12"/>
      <c r="Q24" s="12"/>
      <c r="R24" s="230"/>
      <c r="S24" s="12"/>
      <c r="T24" s="12"/>
      <c r="U24" s="12"/>
      <c r="V24" s="2"/>
    </row>
    <row r="25" spans="3:22" ht="18" customHeight="1" x14ac:dyDescent="0.55000000000000004">
      <c r="C25" s="242"/>
      <c r="D25" s="239" t="s">
        <v>19</v>
      </c>
      <c r="E25" s="230">
        <v>1</v>
      </c>
      <c r="F25" s="7">
        <v>0</v>
      </c>
      <c r="G25" s="7">
        <v>1</v>
      </c>
      <c r="H25" s="7">
        <v>1</v>
      </c>
      <c r="I25" s="7">
        <v>1</v>
      </c>
      <c r="J25" s="230">
        <v>1</v>
      </c>
      <c r="K25" s="7">
        <v>1</v>
      </c>
      <c r="L25" s="7">
        <v>1</v>
      </c>
      <c r="M25" s="7">
        <v>1</v>
      </c>
      <c r="N25" s="230"/>
      <c r="O25" s="7"/>
      <c r="P25" s="7"/>
      <c r="Q25" s="7"/>
      <c r="R25" s="230"/>
      <c r="S25" s="7"/>
      <c r="T25" s="7"/>
      <c r="U25" s="7"/>
      <c r="V25" s="2"/>
    </row>
    <row r="26" spans="3:22" ht="18" customHeight="1" x14ac:dyDescent="0.55000000000000004">
      <c r="C26" s="242"/>
      <c r="D26" s="240"/>
      <c r="E26" s="230"/>
      <c r="F26" s="7">
        <f>F25-E25</f>
        <v>-1</v>
      </c>
      <c r="G26" s="8">
        <f>G25-E25</f>
        <v>0</v>
      </c>
      <c r="H26" s="8">
        <f>H25-E25</f>
        <v>0</v>
      </c>
      <c r="I26" s="8">
        <f>I25-E25</f>
        <v>0</v>
      </c>
      <c r="J26" s="230"/>
      <c r="K26" s="8">
        <f>K25-E25</f>
        <v>0</v>
      </c>
      <c r="L26" s="8">
        <f>L25-E25</f>
        <v>0</v>
      </c>
      <c r="M26" s="8">
        <f>M25-E25</f>
        <v>0</v>
      </c>
      <c r="N26" s="230"/>
      <c r="O26" s="10"/>
      <c r="P26" s="10"/>
      <c r="Q26" s="10"/>
      <c r="R26" s="230"/>
      <c r="S26" s="10"/>
      <c r="T26" s="10"/>
      <c r="U26" s="10"/>
      <c r="V26" s="2"/>
    </row>
    <row r="27" spans="3:22" ht="18" customHeight="1" x14ac:dyDescent="0.55000000000000004">
      <c r="C27" s="242"/>
      <c r="D27" s="232" t="s">
        <v>17</v>
      </c>
      <c r="E27" s="230">
        <v>60</v>
      </c>
      <c r="F27" s="14">
        <v>0</v>
      </c>
      <c r="G27" s="11">
        <v>60</v>
      </c>
      <c r="H27" s="11">
        <v>60</v>
      </c>
      <c r="I27" s="11">
        <v>60</v>
      </c>
      <c r="J27" s="230">
        <v>60</v>
      </c>
      <c r="K27" s="11">
        <v>60</v>
      </c>
      <c r="L27" s="11">
        <v>60</v>
      </c>
      <c r="M27" s="11">
        <v>60</v>
      </c>
      <c r="N27" s="230"/>
      <c r="O27" s="12"/>
      <c r="P27" s="12"/>
      <c r="Q27" s="12"/>
      <c r="R27" s="230"/>
      <c r="S27" s="12"/>
      <c r="T27" s="12"/>
      <c r="U27" s="12"/>
      <c r="V27" s="2"/>
    </row>
    <row r="28" spans="3:22" ht="18" customHeight="1" x14ac:dyDescent="0.55000000000000004">
      <c r="C28" s="242"/>
      <c r="D28" s="233"/>
      <c r="E28" s="230"/>
      <c r="F28" s="14">
        <f>F27-E27</f>
        <v>-60</v>
      </c>
      <c r="G28" s="11">
        <f>G27-E27</f>
        <v>0</v>
      </c>
      <c r="H28" s="11">
        <f>H27-E27</f>
        <v>0</v>
      </c>
      <c r="I28" s="11">
        <f>I27-E27</f>
        <v>0</v>
      </c>
      <c r="J28" s="230"/>
      <c r="K28" s="11">
        <f>K27-E27</f>
        <v>0</v>
      </c>
      <c r="L28" s="11">
        <f>L27-E27</f>
        <v>0</v>
      </c>
      <c r="M28" s="11">
        <f>M27-E27</f>
        <v>0</v>
      </c>
      <c r="N28" s="230"/>
      <c r="O28" s="12"/>
      <c r="P28" s="12"/>
      <c r="Q28" s="12"/>
      <c r="R28" s="230"/>
      <c r="S28" s="12"/>
      <c r="T28" s="12"/>
      <c r="U28" s="12"/>
      <c r="V28" s="2"/>
    </row>
    <row r="29" spans="3:22" ht="65.5" customHeight="1" x14ac:dyDescent="0.55000000000000004">
      <c r="C29" s="238"/>
      <c r="D29" s="238"/>
      <c r="E29" s="238"/>
      <c r="F29" s="236" t="s">
        <v>95</v>
      </c>
      <c r="G29" s="237"/>
      <c r="H29" s="236" t="s">
        <v>140</v>
      </c>
      <c r="I29" s="237"/>
      <c r="J29" s="237" t="s">
        <v>91</v>
      </c>
      <c r="K29" s="237"/>
      <c r="L29" s="237" t="s">
        <v>92</v>
      </c>
      <c r="M29" s="237"/>
      <c r="N29" s="237" t="s">
        <v>91</v>
      </c>
      <c r="O29" s="237"/>
      <c r="P29" s="237" t="s">
        <v>92</v>
      </c>
      <c r="Q29" s="237"/>
      <c r="R29" s="237" t="s">
        <v>91</v>
      </c>
      <c r="S29" s="237"/>
      <c r="T29" s="237" t="s">
        <v>92</v>
      </c>
      <c r="U29" s="237"/>
      <c r="V29" s="2"/>
    </row>
    <row r="30" spans="3:22" ht="18" customHeight="1" x14ac:dyDescent="0.55000000000000004">
      <c r="C30" s="231" t="s">
        <v>0</v>
      </c>
      <c r="D30" s="231"/>
      <c r="E30" s="6" t="s">
        <v>9</v>
      </c>
      <c r="F30" s="5" t="s">
        <v>4</v>
      </c>
      <c r="G30" s="5" t="s">
        <v>5</v>
      </c>
      <c r="H30" s="5" t="s">
        <v>6</v>
      </c>
      <c r="I30" s="5" t="s">
        <v>7</v>
      </c>
      <c r="J30" s="6" t="s">
        <v>9</v>
      </c>
      <c r="K30" s="5" t="s">
        <v>8</v>
      </c>
      <c r="L30" s="5" t="s">
        <v>10</v>
      </c>
      <c r="M30" s="5" t="s">
        <v>11</v>
      </c>
      <c r="N30" s="6" t="s">
        <v>9</v>
      </c>
      <c r="O30" s="5" t="s">
        <v>12</v>
      </c>
      <c r="P30" s="5" t="s">
        <v>13</v>
      </c>
      <c r="Q30" s="5" t="s">
        <v>14</v>
      </c>
      <c r="R30" s="6" t="s">
        <v>9</v>
      </c>
      <c r="S30" s="5" t="s">
        <v>15</v>
      </c>
      <c r="T30" s="5" t="s">
        <v>16</v>
      </c>
      <c r="U30" s="5" t="s">
        <v>4</v>
      </c>
      <c r="V30" s="4" t="s">
        <v>24</v>
      </c>
    </row>
    <row r="31" spans="3:22" ht="15.5" customHeight="1" x14ac:dyDescent="0.55000000000000004">
      <c r="C31" s="244" t="s">
        <v>89</v>
      </c>
      <c r="D31" s="230" t="s">
        <v>3</v>
      </c>
      <c r="E31" s="230">
        <v>3</v>
      </c>
      <c r="F31" s="7">
        <v>3</v>
      </c>
      <c r="G31" s="7">
        <v>2</v>
      </c>
      <c r="H31" s="7">
        <v>2</v>
      </c>
      <c r="I31" s="7">
        <v>4</v>
      </c>
      <c r="J31" s="230">
        <v>3</v>
      </c>
      <c r="K31" s="7">
        <v>3</v>
      </c>
      <c r="L31" s="7">
        <v>3</v>
      </c>
      <c r="M31" s="7">
        <v>3</v>
      </c>
      <c r="N31" s="230"/>
      <c r="O31" s="7"/>
      <c r="P31" s="7"/>
      <c r="Q31" s="7"/>
      <c r="R31" s="230"/>
      <c r="S31" s="7"/>
      <c r="T31" s="7"/>
      <c r="U31" s="7"/>
      <c r="V31" s="3" t="s">
        <v>21</v>
      </c>
    </row>
    <row r="32" spans="3:22" ht="15.5" customHeight="1" x14ac:dyDescent="0.55000000000000004">
      <c r="C32" s="230"/>
      <c r="D32" s="230"/>
      <c r="E32" s="230"/>
      <c r="F32" s="15">
        <f ca="1">F32-E31</f>
        <v>-9</v>
      </c>
      <c r="G32" s="15">
        <f>G31-E31</f>
        <v>-1</v>
      </c>
      <c r="H32" s="9">
        <f>H31-E31</f>
        <v>-1</v>
      </c>
      <c r="I32" s="8">
        <f>I31-E31</f>
        <v>1</v>
      </c>
      <c r="J32" s="230"/>
      <c r="K32" s="8">
        <f>K31-J31</f>
        <v>0</v>
      </c>
      <c r="L32" s="8">
        <f>L31-K31</f>
        <v>0</v>
      </c>
      <c r="M32" s="8">
        <f>M31-L31</f>
        <v>0</v>
      </c>
      <c r="N32" s="230"/>
      <c r="O32" s="10"/>
      <c r="P32" s="10"/>
      <c r="Q32" s="10"/>
      <c r="R32" s="230"/>
      <c r="S32" s="10"/>
      <c r="T32" s="10"/>
      <c r="U32" s="10"/>
      <c r="V32" s="2"/>
    </row>
    <row r="33" spans="3:23" ht="15.5" customHeight="1" x14ac:dyDescent="0.55000000000000004">
      <c r="C33" s="230"/>
      <c r="D33" s="234" t="s">
        <v>17</v>
      </c>
      <c r="E33" s="230">
        <v>425</v>
      </c>
      <c r="F33" s="14">
        <v>425</v>
      </c>
      <c r="G33" s="11">
        <v>260</v>
      </c>
      <c r="H33" s="11">
        <v>260</v>
      </c>
      <c r="I33" s="11">
        <v>555</v>
      </c>
      <c r="J33" s="230">
        <v>425</v>
      </c>
      <c r="K33" s="11">
        <v>425</v>
      </c>
      <c r="L33" s="11">
        <v>425</v>
      </c>
      <c r="M33" s="11">
        <v>425</v>
      </c>
      <c r="N33" s="230"/>
      <c r="O33" s="11"/>
      <c r="P33" s="11"/>
      <c r="Q33" s="11"/>
      <c r="R33" s="230"/>
      <c r="S33" s="11"/>
      <c r="T33" s="11"/>
      <c r="U33" s="11"/>
      <c r="V33" s="2"/>
    </row>
    <row r="34" spans="3:23" ht="15.5" customHeight="1" x14ac:dyDescent="0.55000000000000004">
      <c r="C34" s="230"/>
      <c r="D34" s="235"/>
      <c r="E34" s="230"/>
      <c r="F34" s="14">
        <f>F33-E33</f>
        <v>0</v>
      </c>
      <c r="G34" s="13">
        <f>G33-E33</f>
        <v>-165</v>
      </c>
      <c r="H34" s="13">
        <f>H33-E33</f>
        <v>-165</v>
      </c>
      <c r="I34" s="11">
        <f>I33-E33</f>
        <v>130</v>
      </c>
      <c r="J34" s="230"/>
      <c r="K34" s="11">
        <f>K33-E33</f>
        <v>0</v>
      </c>
      <c r="L34" s="11">
        <f>L33-E33</f>
        <v>0</v>
      </c>
      <c r="M34" s="11">
        <f>M33-E33</f>
        <v>0</v>
      </c>
      <c r="N34" s="230"/>
      <c r="O34" s="11"/>
      <c r="P34" s="11"/>
      <c r="Q34" s="11"/>
      <c r="R34" s="230"/>
      <c r="S34" s="11"/>
      <c r="T34" s="11"/>
      <c r="U34" s="11"/>
      <c r="V34" s="2"/>
    </row>
    <row r="35" spans="3:23" ht="58.5" customHeight="1" x14ac:dyDescent="0.55000000000000004">
      <c r="C35" s="16"/>
      <c r="D35" s="16"/>
      <c r="E35" s="16"/>
      <c r="F35" s="236" t="s">
        <v>97</v>
      </c>
      <c r="G35" s="237"/>
      <c r="H35" s="236" t="s">
        <v>96</v>
      </c>
      <c r="I35" s="237"/>
      <c r="J35" s="237" t="s">
        <v>91</v>
      </c>
      <c r="K35" s="237"/>
      <c r="L35" s="236" t="s">
        <v>94</v>
      </c>
      <c r="M35" s="237"/>
      <c r="N35" s="237" t="s">
        <v>91</v>
      </c>
      <c r="O35" s="237"/>
      <c r="P35" s="237" t="s">
        <v>92</v>
      </c>
      <c r="Q35" s="237"/>
      <c r="R35" s="237" t="s">
        <v>91</v>
      </c>
      <c r="S35" s="237"/>
      <c r="T35" s="237" t="s">
        <v>92</v>
      </c>
      <c r="U35" s="237"/>
    </row>
    <row r="36" spans="3:23" x14ac:dyDescent="0.55000000000000004">
      <c r="C36" s="231" t="s">
        <v>0</v>
      </c>
      <c r="D36" s="231"/>
      <c r="E36" s="6" t="s">
        <v>9</v>
      </c>
      <c r="F36" s="5" t="s">
        <v>4</v>
      </c>
      <c r="G36" s="5" t="s">
        <v>5</v>
      </c>
      <c r="H36" s="5" t="s">
        <v>6</v>
      </c>
      <c r="I36" s="5" t="s">
        <v>7</v>
      </c>
      <c r="J36" s="6" t="s">
        <v>9</v>
      </c>
      <c r="K36" s="5" t="s">
        <v>8</v>
      </c>
      <c r="L36" s="5" t="s">
        <v>10</v>
      </c>
      <c r="M36" s="5" t="s">
        <v>11</v>
      </c>
      <c r="N36" s="6" t="s">
        <v>9</v>
      </c>
      <c r="O36" s="5" t="s">
        <v>12</v>
      </c>
      <c r="P36" s="5" t="s">
        <v>13</v>
      </c>
      <c r="Q36" s="5" t="s">
        <v>14</v>
      </c>
      <c r="R36" s="6" t="s">
        <v>9</v>
      </c>
      <c r="S36" s="5" t="s">
        <v>15</v>
      </c>
      <c r="T36" s="5" t="s">
        <v>16</v>
      </c>
      <c r="U36" s="5" t="s">
        <v>4</v>
      </c>
      <c r="V36" s="4" t="s">
        <v>102</v>
      </c>
    </row>
    <row r="37" spans="3:23" x14ac:dyDescent="0.55000000000000004">
      <c r="C37" s="230" t="s">
        <v>22</v>
      </c>
      <c r="D37" s="230" t="s">
        <v>3</v>
      </c>
      <c r="E37" s="230">
        <v>13</v>
      </c>
      <c r="F37" s="7">
        <v>12</v>
      </c>
      <c r="G37" s="7">
        <v>12</v>
      </c>
      <c r="H37" s="7">
        <v>12</v>
      </c>
      <c r="I37" s="7">
        <v>11</v>
      </c>
      <c r="J37" s="230">
        <v>15</v>
      </c>
      <c r="K37" s="7">
        <v>13</v>
      </c>
      <c r="L37" s="7">
        <v>14</v>
      </c>
      <c r="M37" s="7">
        <v>14</v>
      </c>
      <c r="N37" s="230"/>
      <c r="O37" s="7"/>
      <c r="P37" s="7"/>
      <c r="Q37" s="7"/>
      <c r="R37" s="230"/>
      <c r="S37" s="7"/>
      <c r="T37" s="7"/>
      <c r="U37" s="7"/>
      <c r="V37" s="3" t="s">
        <v>23</v>
      </c>
    </row>
    <row r="38" spans="3:23" x14ac:dyDescent="0.55000000000000004">
      <c r="C38" s="230"/>
      <c r="D38" s="230"/>
      <c r="E38" s="230"/>
      <c r="F38" s="9">
        <f>F37-E37</f>
        <v>-1</v>
      </c>
      <c r="G38" s="15">
        <f>G37-E37</f>
        <v>-1</v>
      </c>
      <c r="H38" s="15">
        <f>H37-E37</f>
        <v>-1</v>
      </c>
      <c r="I38" s="8">
        <f>I37-E37</f>
        <v>-2</v>
      </c>
      <c r="J38" s="230"/>
      <c r="K38" s="9">
        <f>K37-J37</f>
        <v>-2</v>
      </c>
      <c r="L38" s="9">
        <f>L37-J37</f>
        <v>-1</v>
      </c>
      <c r="M38" s="9">
        <f>M37-J37</f>
        <v>-1</v>
      </c>
      <c r="N38" s="230"/>
      <c r="O38" s="10"/>
      <c r="P38" s="10"/>
      <c r="Q38" s="10"/>
      <c r="R38" s="230"/>
      <c r="S38" s="10"/>
      <c r="T38" s="10"/>
      <c r="U38" s="10"/>
    </row>
    <row r="39" spans="3:23" x14ac:dyDescent="0.55000000000000004">
      <c r="C39" s="230"/>
      <c r="D39" s="234" t="s">
        <v>17</v>
      </c>
      <c r="E39" s="230">
        <v>2180</v>
      </c>
      <c r="F39" s="14">
        <v>1850</v>
      </c>
      <c r="G39" s="11">
        <v>2050</v>
      </c>
      <c r="H39" s="11">
        <v>2050</v>
      </c>
      <c r="I39" s="11">
        <v>2050</v>
      </c>
      <c r="J39" s="230">
        <v>2545</v>
      </c>
      <c r="K39" s="11">
        <v>2250</v>
      </c>
      <c r="L39" s="11">
        <v>2380</v>
      </c>
      <c r="M39" s="11">
        <v>2380</v>
      </c>
      <c r="N39" s="230"/>
      <c r="O39" s="11"/>
      <c r="P39" s="11"/>
      <c r="Q39" s="11"/>
      <c r="R39" s="230"/>
      <c r="S39" s="11"/>
      <c r="T39" s="11"/>
      <c r="U39" s="11"/>
    </row>
    <row r="40" spans="3:23" x14ac:dyDescent="0.55000000000000004">
      <c r="C40" s="230"/>
      <c r="D40" s="235"/>
      <c r="E40" s="230"/>
      <c r="F40" s="17">
        <f>F39-E39</f>
        <v>-330</v>
      </c>
      <c r="G40" s="18">
        <f>G39-E39</f>
        <v>-130</v>
      </c>
      <c r="H40" s="18">
        <f>H39-E39</f>
        <v>-130</v>
      </c>
      <c r="I40" s="13">
        <f>I39-E39</f>
        <v>-130</v>
      </c>
      <c r="J40" s="230"/>
      <c r="K40" s="18">
        <f>K39-J39</f>
        <v>-295</v>
      </c>
      <c r="L40" s="18">
        <f>L39-J39</f>
        <v>-165</v>
      </c>
      <c r="M40" s="18">
        <f>M39-J39</f>
        <v>-165</v>
      </c>
      <c r="N40" s="230"/>
      <c r="O40" s="11"/>
      <c r="P40" s="11"/>
      <c r="Q40" s="11"/>
      <c r="R40" s="230"/>
      <c r="S40" s="11"/>
      <c r="T40" s="11"/>
      <c r="U40" s="11"/>
    </row>
    <row r="41" spans="3:23" ht="62" customHeight="1" x14ac:dyDescent="0.55000000000000004">
      <c r="C41" s="19"/>
      <c r="D41" s="19"/>
      <c r="E41" s="19"/>
      <c r="F41" s="249" t="s">
        <v>99</v>
      </c>
      <c r="G41" s="250"/>
      <c r="H41" s="249" t="s">
        <v>100</v>
      </c>
      <c r="I41" s="250"/>
      <c r="J41" s="249" t="s">
        <v>141</v>
      </c>
      <c r="K41" s="250"/>
      <c r="L41" s="250" t="s">
        <v>92</v>
      </c>
      <c r="M41" s="250"/>
      <c r="N41" s="250" t="s">
        <v>91</v>
      </c>
      <c r="O41" s="250"/>
      <c r="P41" s="250" t="s">
        <v>92</v>
      </c>
      <c r="Q41" s="250"/>
      <c r="R41" s="250" t="s">
        <v>91</v>
      </c>
      <c r="S41" s="250"/>
      <c r="T41" s="250" t="s">
        <v>92</v>
      </c>
      <c r="U41" s="250"/>
      <c r="V41" s="29" t="s">
        <v>101</v>
      </c>
      <c r="W41" s="29" t="s">
        <v>98</v>
      </c>
    </row>
    <row r="42" spans="3:23" x14ac:dyDescent="0.55000000000000004">
      <c r="C42" s="231" t="s">
        <v>0</v>
      </c>
      <c r="D42" s="231"/>
      <c r="E42" s="6" t="s">
        <v>9</v>
      </c>
      <c r="F42" s="5" t="s">
        <v>4</v>
      </c>
      <c r="G42" s="5" t="s">
        <v>5</v>
      </c>
      <c r="H42" s="5" t="s">
        <v>6</v>
      </c>
      <c r="I42" s="5" t="s">
        <v>7</v>
      </c>
      <c r="J42" s="6" t="s">
        <v>9</v>
      </c>
      <c r="K42" s="5" t="s">
        <v>8</v>
      </c>
      <c r="L42" s="5" t="s">
        <v>10</v>
      </c>
      <c r="M42" s="5" t="s">
        <v>11</v>
      </c>
      <c r="N42" s="6" t="s">
        <v>9</v>
      </c>
      <c r="O42" s="5" t="s">
        <v>12</v>
      </c>
      <c r="P42" s="5" t="s">
        <v>13</v>
      </c>
      <c r="Q42" s="5" t="s">
        <v>14</v>
      </c>
      <c r="R42" s="6" t="s">
        <v>9</v>
      </c>
      <c r="S42" s="5" t="s">
        <v>15</v>
      </c>
      <c r="T42" s="5" t="s">
        <v>16</v>
      </c>
      <c r="U42" s="5" t="s">
        <v>4</v>
      </c>
      <c r="V42" s="4" t="s">
        <v>24</v>
      </c>
    </row>
    <row r="43" spans="3:23" x14ac:dyDescent="0.55000000000000004">
      <c r="C43" s="230" t="s">
        <v>25</v>
      </c>
      <c r="D43" s="230" t="s">
        <v>3</v>
      </c>
      <c r="E43" s="230">
        <v>16</v>
      </c>
      <c r="F43" s="7">
        <v>16</v>
      </c>
      <c r="G43" s="7">
        <v>16</v>
      </c>
      <c r="H43" s="7">
        <v>16</v>
      </c>
      <c r="I43" s="7">
        <v>17</v>
      </c>
      <c r="J43" s="230">
        <v>18</v>
      </c>
      <c r="K43" s="7">
        <v>15</v>
      </c>
      <c r="L43" s="7">
        <v>15</v>
      </c>
      <c r="M43" s="7">
        <v>16</v>
      </c>
      <c r="N43" s="230">
        <v>18</v>
      </c>
      <c r="O43" s="7">
        <v>17</v>
      </c>
      <c r="P43" s="7">
        <v>17</v>
      </c>
      <c r="Q43" s="7">
        <v>17</v>
      </c>
      <c r="R43" s="230">
        <v>20</v>
      </c>
      <c r="S43" s="7">
        <v>19</v>
      </c>
      <c r="T43" s="7">
        <v>19</v>
      </c>
      <c r="U43" s="7">
        <v>20</v>
      </c>
      <c r="V43" s="30" t="s">
        <v>142</v>
      </c>
    </row>
    <row r="44" spans="3:23" x14ac:dyDescent="0.55000000000000004">
      <c r="C44" s="230"/>
      <c r="D44" s="230"/>
      <c r="E44" s="230"/>
      <c r="F44" s="15">
        <f>F43-E43</f>
        <v>0</v>
      </c>
      <c r="G44" s="15">
        <f>G43-E43</f>
        <v>0</v>
      </c>
      <c r="H44" s="15">
        <f>H43-E43</f>
        <v>0</v>
      </c>
      <c r="I44" s="15">
        <f>I43-E43</f>
        <v>1</v>
      </c>
      <c r="J44" s="230"/>
      <c r="K44" s="15">
        <f>K43-J43</f>
        <v>-3</v>
      </c>
      <c r="L44" s="15">
        <f>L43-J43</f>
        <v>-3</v>
      </c>
      <c r="M44" s="15">
        <f>M43-J43</f>
        <v>-2</v>
      </c>
      <c r="N44" s="230"/>
      <c r="O44" s="9">
        <f>O43-N43</f>
        <v>-1</v>
      </c>
      <c r="P44" s="9">
        <f>P43-N43</f>
        <v>-1</v>
      </c>
      <c r="Q44" s="9">
        <f>Q43-N43</f>
        <v>-1</v>
      </c>
      <c r="R44" s="230"/>
      <c r="S44" s="8">
        <f>S43-R43</f>
        <v>-1</v>
      </c>
      <c r="T44" s="8">
        <f>S43-R43</f>
        <v>-1</v>
      </c>
      <c r="U44" s="8">
        <f>U43-R43</f>
        <v>0</v>
      </c>
      <c r="V44" s="31" t="s">
        <v>143</v>
      </c>
    </row>
    <row r="45" spans="3:23" x14ac:dyDescent="0.55000000000000004">
      <c r="C45" s="230"/>
      <c r="D45" s="234" t="s">
        <v>17</v>
      </c>
      <c r="E45" s="230">
        <v>3130</v>
      </c>
      <c r="F45" s="14">
        <v>3130</v>
      </c>
      <c r="G45" s="11">
        <v>3130</v>
      </c>
      <c r="H45" s="11">
        <v>3130</v>
      </c>
      <c r="I45" s="11">
        <v>3295</v>
      </c>
      <c r="J45" s="230">
        <v>3500</v>
      </c>
      <c r="K45" s="11">
        <v>2895</v>
      </c>
      <c r="L45" s="11">
        <v>2895</v>
      </c>
      <c r="M45" s="11">
        <v>3095</v>
      </c>
      <c r="N45" s="230">
        <v>3500</v>
      </c>
      <c r="O45" s="11">
        <v>3295</v>
      </c>
      <c r="P45" s="11">
        <v>3295</v>
      </c>
      <c r="Q45" s="11">
        <v>3295</v>
      </c>
      <c r="R45" s="230">
        <v>3860</v>
      </c>
      <c r="S45" s="11">
        <v>3660</v>
      </c>
      <c r="T45" s="11">
        <v>3660</v>
      </c>
      <c r="U45" s="11">
        <v>3860</v>
      </c>
      <c r="V45" s="1"/>
    </row>
    <row r="46" spans="3:23" x14ac:dyDescent="0.55000000000000004">
      <c r="C46" s="230"/>
      <c r="D46" s="235"/>
      <c r="E46" s="230"/>
      <c r="F46" s="14">
        <f>F45-E45</f>
        <v>0</v>
      </c>
      <c r="G46" s="18">
        <f>G45-E45</f>
        <v>0</v>
      </c>
      <c r="H46" s="18">
        <f>H45-E45</f>
        <v>0</v>
      </c>
      <c r="I46" s="18">
        <f>I45-E45</f>
        <v>165</v>
      </c>
      <c r="J46" s="230"/>
      <c r="K46" s="18">
        <f>K45-J45</f>
        <v>-605</v>
      </c>
      <c r="L46" s="18">
        <f>L45-J45</f>
        <v>-605</v>
      </c>
      <c r="M46" s="18">
        <f>M45-J45</f>
        <v>-405</v>
      </c>
      <c r="N46" s="230"/>
      <c r="O46" s="11">
        <f>O45-N45</f>
        <v>-205</v>
      </c>
      <c r="P46" s="11">
        <f>O45-N45</f>
        <v>-205</v>
      </c>
      <c r="Q46" s="11">
        <f>Q45-N45</f>
        <v>-205</v>
      </c>
      <c r="R46" s="230"/>
      <c r="S46" s="11">
        <f>S45-R45</f>
        <v>-200</v>
      </c>
      <c r="T46" s="11">
        <f>T45-R45</f>
        <v>-200</v>
      </c>
      <c r="U46" s="11">
        <f>U45-R45</f>
        <v>0</v>
      </c>
      <c r="V46" s="1"/>
    </row>
    <row r="47" spans="3:23" ht="87.5" customHeight="1" x14ac:dyDescent="0.55000000000000004">
      <c r="C47" s="19"/>
      <c r="D47" s="19"/>
      <c r="E47" s="19"/>
      <c r="F47" s="236" t="s">
        <v>103</v>
      </c>
      <c r="G47" s="237"/>
      <c r="H47" s="236" t="s">
        <v>104</v>
      </c>
      <c r="I47" s="237"/>
      <c r="J47" s="236" t="s">
        <v>105</v>
      </c>
      <c r="K47" s="237"/>
      <c r="L47" s="237" t="s">
        <v>92</v>
      </c>
      <c r="M47" s="237"/>
      <c r="N47" s="236" t="s">
        <v>107</v>
      </c>
      <c r="O47" s="237"/>
      <c r="P47" s="237" t="s">
        <v>92</v>
      </c>
      <c r="Q47" s="237"/>
      <c r="R47" s="236" t="s">
        <v>106</v>
      </c>
      <c r="S47" s="237"/>
      <c r="T47" s="237" t="s">
        <v>92</v>
      </c>
      <c r="U47" s="237"/>
      <c r="V47" s="28"/>
      <c r="W47" s="28"/>
    </row>
    <row r="48" spans="3:23" x14ac:dyDescent="0.55000000000000004">
      <c r="C48" s="231" t="s">
        <v>0</v>
      </c>
      <c r="D48" s="231"/>
      <c r="E48" s="6" t="s">
        <v>9</v>
      </c>
      <c r="F48" s="5" t="s">
        <v>4</v>
      </c>
      <c r="G48" s="5" t="s">
        <v>5</v>
      </c>
      <c r="H48" s="5" t="s">
        <v>6</v>
      </c>
      <c r="I48" s="5" t="s">
        <v>7</v>
      </c>
      <c r="J48" s="6" t="s">
        <v>9</v>
      </c>
      <c r="K48" s="5" t="s">
        <v>8</v>
      </c>
      <c r="L48" s="5" t="s">
        <v>10</v>
      </c>
      <c r="M48" s="5" t="s">
        <v>11</v>
      </c>
      <c r="N48" s="6" t="s">
        <v>9</v>
      </c>
      <c r="O48" s="5" t="s">
        <v>12</v>
      </c>
      <c r="P48" s="5" t="s">
        <v>13</v>
      </c>
      <c r="Q48" s="5" t="s">
        <v>14</v>
      </c>
      <c r="R48" s="6" t="s">
        <v>9</v>
      </c>
      <c r="S48" s="5" t="s">
        <v>15</v>
      </c>
      <c r="T48" s="5" t="s">
        <v>16</v>
      </c>
      <c r="U48" s="5" t="s">
        <v>4</v>
      </c>
      <c r="V48" s="4" t="s">
        <v>102</v>
      </c>
    </row>
    <row r="49" spans="3:22" x14ac:dyDescent="0.55000000000000004">
      <c r="C49" s="230" t="s">
        <v>26</v>
      </c>
      <c r="D49" s="230" t="s">
        <v>3</v>
      </c>
      <c r="E49" s="230">
        <v>19</v>
      </c>
      <c r="F49" s="7">
        <v>15</v>
      </c>
      <c r="G49" s="7">
        <v>19</v>
      </c>
      <c r="H49" s="7">
        <v>20</v>
      </c>
      <c r="I49" s="7">
        <v>19</v>
      </c>
      <c r="J49" s="230">
        <v>22</v>
      </c>
      <c r="K49" s="7">
        <v>26</v>
      </c>
      <c r="L49" s="7">
        <v>26</v>
      </c>
      <c r="M49" s="7">
        <v>25</v>
      </c>
      <c r="N49" s="230">
        <v>23</v>
      </c>
      <c r="O49" s="7">
        <v>24</v>
      </c>
      <c r="P49" s="7">
        <v>24</v>
      </c>
      <c r="Q49" s="7">
        <v>24</v>
      </c>
      <c r="R49" s="230">
        <v>25</v>
      </c>
      <c r="S49" s="7">
        <v>22</v>
      </c>
      <c r="T49" s="7">
        <v>22</v>
      </c>
      <c r="U49" s="7">
        <v>21</v>
      </c>
      <c r="V49" s="32" t="s">
        <v>150</v>
      </c>
    </row>
    <row r="50" spans="3:22" x14ac:dyDescent="0.55000000000000004">
      <c r="C50" s="230"/>
      <c r="D50" s="230"/>
      <c r="E50" s="230"/>
      <c r="F50" s="15">
        <f>F49-E49</f>
        <v>-4</v>
      </c>
      <c r="G50" s="15">
        <f>G49-E49</f>
        <v>0</v>
      </c>
      <c r="H50" s="15">
        <f>H49-E49</f>
        <v>1</v>
      </c>
      <c r="I50" s="15">
        <f>I49-E49</f>
        <v>0</v>
      </c>
      <c r="J50" s="230"/>
      <c r="K50" s="15">
        <f>K49-J49</f>
        <v>4</v>
      </c>
      <c r="L50" s="15">
        <f>L49-J49</f>
        <v>4</v>
      </c>
      <c r="M50" s="15">
        <f>M49-J49</f>
        <v>3</v>
      </c>
      <c r="N50" s="230"/>
      <c r="O50" s="8">
        <f>O49-N49</f>
        <v>1</v>
      </c>
      <c r="P50" s="8">
        <f>P49-N49</f>
        <v>1</v>
      </c>
      <c r="Q50" s="8">
        <f>Q49-N49</f>
        <v>1</v>
      </c>
      <c r="R50" s="230"/>
      <c r="S50" s="8">
        <f>S49-R49</f>
        <v>-3</v>
      </c>
      <c r="T50" s="8">
        <f>T49-R49</f>
        <v>-3</v>
      </c>
      <c r="U50" s="8">
        <f>U49-R49</f>
        <v>-4</v>
      </c>
    </row>
    <row r="51" spans="3:22" x14ac:dyDescent="0.55000000000000004">
      <c r="C51" s="230"/>
      <c r="D51" s="234" t="s">
        <v>17</v>
      </c>
      <c r="E51" s="230">
        <v>3300</v>
      </c>
      <c r="F51" s="14">
        <v>2720</v>
      </c>
      <c r="G51" s="11">
        <v>3450</v>
      </c>
      <c r="H51" s="11">
        <v>3650</v>
      </c>
      <c r="I51" s="11">
        <v>3485</v>
      </c>
      <c r="J51" s="230">
        <v>3865</v>
      </c>
      <c r="K51" s="11">
        <v>4185</v>
      </c>
      <c r="L51" s="11">
        <v>4185</v>
      </c>
      <c r="M51" s="11">
        <v>3985</v>
      </c>
      <c r="N51" s="230">
        <v>4065</v>
      </c>
      <c r="O51" s="11">
        <v>3785</v>
      </c>
      <c r="P51" s="11">
        <v>3785</v>
      </c>
      <c r="Q51" s="11">
        <v>3785</v>
      </c>
      <c r="R51" s="230">
        <v>4400</v>
      </c>
      <c r="S51" s="11">
        <v>3420</v>
      </c>
      <c r="T51" s="11">
        <v>3420</v>
      </c>
      <c r="U51" s="11">
        <v>3220</v>
      </c>
    </row>
    <row r="52" spans="3:22" x14ac:dyDescent="0.55000000000000004">
      <c r="C52" s="230"/>
      <c r="D52" s="235"/>
      <c r="E52" s="230"/>
      <c r="F52" s="14">
        <f>F51-E51</f>
        <v>-580</v>
      </c>
      <c r="G52" s="18">
        <f>G51-E51</f>
        <v>150</v>
      </c>
      <c r="H52" s="18">
        <f>H51-E51</f>
        <v>350</v>
      </c>
      <c r="I52" s="18">
        <f>I51-E51</f>
        <v>185</v>
      </c>
      <c r="J52" s="230"/>
      <c r="K52" s="18">
        <f>K51-J51</f>
        <v>320</v>
      </c>
      <c r="L52" s="18">
        <f>L51-J51</f>
        <v>320</v>
      </c>
      <c r="M52" s="18">
        <f>M51-J51</f>
        <v>120</v>
      </c>
      <c r="N52" s="230"/>
      <c r="O52" s="11">
        <f>O51-N51</f>
        <v>-280</v>
      </c>
      <c r="P52" s="11">
        <f>P51-N51</f>
        <v>-280</v>
      </c>
      <c r="Q52" s="11">
        <f>Q51-N51</f>
        <v>-280</v>
      </c>
      <c r="R52" s="230"/>
      <c r="S52" s="11">
        <f>S51-R51</f>
        <v>-980</v>
      </c>
      <c r="T52" s="11">
        <f>T51-R51</f>
        <v>-980</v>
      </c>
      <c r="U52" s="11">
        <f>U51-R51</f>
        <v>-1180</v>
      </c>
    </row>
    <row r="53" spans="3:22" ht="81.5" customHeight="1" x14ac:dyDescent="0.55000000000000004">
      <c r="C53" s="19"/>
      <c r="D53" s="19"/>
      <c r="E53" s="19"/>
      <c r="F53" s="236" t="s">
        <v>145</v>
      </c>
      <c r="G53" s="237"/>
      <c r="H53" s="236" t="s">
        <v>144</v>
      </c>
      <c r="I53" s="237"/>
      <c r="J53" s="236" t="s">
        <v>146</v>
      </c>
      <c r="K53" s="237"/>
      <c r="L53" s="236" t="s">
        <v>147</v>
      </c>
      <c r="M53" s="237"/>
      <c r="N53" s="237" t="s">
        <v>91</v>
      </c>
      <c r="O53" s="237"/>
      <c r="P53" s="236" t="s">
        <v>148</v>
      </c>
      <c r="Q53" s="237"/>
      <c r="R53" s="237" t="s">
        <v>91</v>
      </c>
      <c r="S53" s="237"/>
      <c r="T53" s="236" t="s">
        <v>149</v>
      </c>
      <c r="U53" s="237"/>
      <c r="V53" s="28"/>
    </row>
    <row r="54" spans="3:22" ht="18" customHeight="1" x14ac:dyDescent="0.55000000000000004">
      <c r="C54" s="231" t="s">
        <v>0</v>
      </c>
      <c r="D54" s="231"/>
      <c r="E54" s="6" t="s">
        <v>9</v>
      </c>
      <c r="F54" s="5" t="s">
        <v>4</v>
      </c>
      <c r="G54" s="5" t="s">
        <v>5</v>
      </c>
      <c r="H54" s="5" t="s">
        <v>6</v>
      </c>
      <c r="I54" s="5" t="s">
        <v>7</v>
      </c>
      <c r="J54" s="6" t="s">
        <v>9</v>
      </c>
      <c r="K54" s="5" t="s">
        <v>8</v>
      </c>
      <c r="L54" s="5" t="s">
        <v>10</v>
      </c>
      <c r="M54" s="5" t="s">
        <v>11</v>
      </c>
      <c r="N54" s="6" t="s">
        <v>9</v>
      </c>
      <c r="O54" s="5" t="s">
        <v>12</v>
      </c>
      <c r="P54" s="5" t="s">
        <v>13</v>
      </c>
      <c r="Q54" s="5" t="s">
        <v>14</v>
      </c>
      <c r="R54" s="6" t="s">
        <v>9</v>
      </c>
      <c r="S54" s="5" t="s">
        <v>15</v>
      </c>
      <c r="T54" s="5" t="s">
        <v>16</v>
      </c>
      <c r="U54" s="5" t="s">
        <v>4</v>
      </c>
      <c r="V54" s="28"/>
    </row>
    <row r="55" spans="3:22" ht="18" customHeight="1" x14ac:dyDescent="0.55000000000000004">
      <c r="C55" s="244" t="s">
        <v>121</v>
      </c>
      <c r="D55" s="230" t="s">
        <v>3</v>
      </c>
      <c r="E55" s="230">
        <v>6</v>
      </c>
      <c r="F55" s="7">
        <v>5</v>
      </c>
      <c r="G55" s="7">
        <v>6</v>
      </c>
      <c r="H55" s="7">
        <v>6</v>
      </c>
      <c r="I55" s="7">
        <v>6</v>
      </c>
      <c r="J55" s="230">
        <v>6</v>
      </c>
      <c r="K55" s="7">
        <v>6</v>
      </c>
      <c r="L55" s="7">
        <v>6</v>
      </c>
      <c r="M55" s="7">
        <v>6</v>
      </c>
      <c r="N55" s="230"/>
      <c r="O55" s="7"/>
      <c r="P55" s="7"/>
      <c r="Q55" s="7"/>
      <c r="R55" s="230"/>
      <c r="S55" s="7"/>
      <c r="T55" s="7"/>
      <c r="U55" s="7"/>
      <c r="V55" s="28"/>
    </row>
    <row r="56" spans="3:22" ht="18" customHeight="1" x14ac:dyDescent="0.55000000000000004">
      <c r="C56" s="230"/>
      <c r="D56" s="230"/>
      <c r="E56" s="230"/>
      <c r="F56" s="15">
        <f>F55-E55</f>
        <v>-1</v>
      </c>
      <c r="G56" s="15">
        <f>G55-E55</f>
        <v>0</v>
      </c>
      <c r="H56" s="15">
        <f>H55-E55</f>
        <v>0</v>
      </c>
      <c r="I56" s="15">
        <f>I55-E55</f>
        <v>0</v>
      </c>
      <c r="J56" s="230"/>
      <c r="K56" s="15">
        <f>K55-J55</f>
        <v>0</v>
      </c>
      <c r="L56" s="15">
        <f>L55-J55</f>
        <v>0</v>
      </c>
      <c r="M56" s="15">
        <f>M55-J55</f>
        <v>0</v>
      </c>
      <c r="N56" s="230"/>
      <c r="O56" s="10"/>
      <c r="P56" s="10"/>
      <c r="Q56" s="10"/>
      <c r="R56" s="230"/>
      <c r="S56" s="10"/>
      <c r="T56" s="10"/>
      <c r="U56" s="10"/>
      <c r="V56" s="28"/>
    </row>
    <row r="57" spans="3:22" ht="18" customHeight="1" x14ac:dyDescent="0.55000000000000004">
      <c r="C57" s="230"/>
      <c r="D57" s="234" t="s">
        <v>17</v>
      </c>
      <c r="E57" s="230">
        <v>800</v>
      </c>
      <c r="F57" s="14">
        <v>685</v>
      </c>
      <c r="G57" s="11">
        <v>815</v>
      </c>
      <c r="H57" s="11">
        <v>815</v>
      </c>
      <c r="I57" s="11">
        <v>815</v>
      </c>
      <c r="J57" s="230">
        <v>800</v>
      </c>
      <c r="K57" s="11">
        <v>815</v>
      </c>
      <c r="L57" s="11">
        <v>815</v>
      </c>
      <c r="M57" s="11">
        <v>815</v>
      </c>
      <c r="N57" s="230"/>
      <c r="O57" s="11"/>
      <c r="P57" s="11"/>
      <c r="Q57" s="11"/>
      <c r="R57" s="230"/>
      <c r="S57" s="11"/>
      <c r="T57" s="11"/>
      <c r="U57" s="11"/>
      <c r="V57" s="28"/>
    </row>
    <row r="58" spans="3:22" ht="18" customHeight="1" x14ac:dyDescent="0.55000000000000004">
      <c r="C58" s="230"/>
      <c r="D58" s="235"/>
      <c r="E58" s="230"/>
      <c r="F58" s="14">
        <f>F57-E57</f>
        <v>-115</v>
      </c>
      <c r="G58" s="18">
        <f>G57-E57</f>
        <v>15</v>
      </c>
      <c r="H58" s="18">
        <f>H57-E57</f>
        <v>15</v>
      </c>
      <c r="I58" s="18">
        <f>I57-E57</f>
        <v>15</v>
      </c>
      <c r="J58" s="230"/>
      <c r="K58" s="18">
        <f>K57-J57</f>
        <v>15</v>
      </c>
      <c r="L58" s="18">
        <f>L57-J57</f>
        <v>15</v>
      </c>
      <c r="M58" s="18">
        <f>M57-J57</f>
        <v>15</v>
      </c>
      <c r="N58" s="230"/>
      <c r="O58" s="11"/>
      <c r="P58" s="11"/>
      <c r="Q58" s="11"/>
      <c r="R58" s="230"/>
      <c r="S58" s="11"/>
      <c r="T58" s="11"/>
      <c r="U58" s="11"/>
      <c r="V58" s="28"/>
    </row>
    <row r="59" spans="3:22" ht="71" customHeight="1" x14ac:dyDescent="0.55000000000000004">
      <c r="C59" s="19"/>
      <c r="D59" s="19"/>
      <c r="E59" s="19"/>
      <c r="F59" s="236" t="s">
        <v>122</v>
      </c>
      <c r="G59" s="237"/>
      <c r="H59" s="236" t="s">
        <v>118</v>
      </c>
      <c r="I59" s="237"/>
      <c r="J59" s="236" t="s">
        <v>119</v>
      </c>
      <c r="K59" s="237"/>
      <c r="L59" s="237" t="s">
        <v>92</v>
      </c>
      <c r="M59" s="237"/>
      <c r="N59" s="237" t="s">
        <v>91</v>
      </c>
      <c r="O59" s="237"/>
      <c r="P59" s="237" t="s">
        <v>92</v>
      </c>
      <c r="Q59" s="237"/>
      <c r="R59" s="237" t="s">
        <v>91</v>
      </c>
      <c r="S59" s="237"/>
      <c r="T59" s="237" t="s">
        <v>92</v>
      </c>
      <c r="U59" s="237"/>
      <c r="V59" s="28"/>
    </row>
    <row r="60" spans="3:22" ht="22" customHeight="1" x14ac:dyDescent="0.55000000000000004">
      <c r="C60" s="231" t="s">
        <v>0</v>
      </c>
      <c r="D60" s="231"/>
      <c r="E60" s="6" t="s">
        <v>9</v>
      </c>
      <c r="F60" s="5" t="s">
        <v>4</v>
      </c>
      <c r="G60" s="5" t="s">
        <v>5</v>
      </c>
      <c r="H60" s="5" t="s">
        <v>6</v>
      </c>
      <c r="I60" s="5" t="s">
        <v>7</v>
      </c>
      <c r="J60" s="6" t="s">
        <v>9</v>
      </c>
      <c r="K60" s="5" t="s">
        <v>8</v>
      </c>
      <c r="L60" s="5" t="s">
        <v>10</v>
      </c>
      <c r="M60" s="5" t="s">
        <v>11</v>
      </c>
      <c r="N60" s="6" t="s">
        <v>9</v>
      </c>
      <c r="O60" s="5" t="s">
        <v>12</v>
      </c>
      <c r="P60" s="5" t="s">
        <v>13</v>
      </c>
      <c r="Q60" s="5" t="s">
        <v>14</v>
      </c>
      <c r="R60" s="6" t="s">
        <v>9</v>
      </c>
      <c r="S60" s="5" t="s">
        <v>15</v>
      </c>
      <c r="T60" s="5" t="s">
        <v>16</v>
      </c>
      <c r="U60" s="5" t="s">
        <v>4</v>
      </c>
      <c r="V60" s="27" t="s">
        <v>152</v>
      </c>
    </row>
    <row r="61" spans="3:22" ht="21.5" customHeight="1" x14ac:dyDescent="0.55000000000000004">
      <c r="C61" s="245" t="s">
        <v>85</v>
      </c>
      <c r="D61" s="35" t="s">
        <v>84</v>
      </c>
      <c r="E61" s="20"/>
      <c r="F61" s="7">
        <v>20</v>
      </c>
      <c r="G61" s="7">
        <v>20</v>
      </c>
      <c r="H61" s="7">
        <v>19</v>
      </c>
      <c r="I61" s="7">
        <v>17</v>
      </c>
      <c r="J61" s="20"/>
      <c r="K61" s="7">
        <v>16</v>
      </c>
      <c r="L61" s="7">
        <v>16</v>
      </c>
      <c r="M61" s="7">
        <v>16</v>
      </c>
      <c r="N61" s="20"/>
      <c r="O61" s="7"/>
      <c r="P61" s="7"/>
      <c r="Q61" s="7"/>
      <c r="R61" s="20"/>
      <c r="S61" s="7"/>
      <c r="T61" s="7"/>
      <c r="U61" s="7"/>
    </row>
    <row r="62" spans="3:22" ht="20.5" customHeight="1" x14ac:dyDescent="0.55000000000000004">
      <c r="C62" s="246"/>
      <c r="D62" s="21" t="s">
        <v>17</v>
      </c>
      <c r="E62" s="20"/>
      <c r="F62" s="14">
        <v>1200</v>
      </c>
      <c r="G62" s="11">
        <v>1200</v>
      </c>
      <c r="H62" s="11">
        <v>1140</v>
      </c>
      <c r="I62" s="11">
        <v>1020</v>
      </c>
      <c r="J62" s="20"/>
      <c r="K62" s="11">
        <v>960</v>
      </c>
      <c r="L62" s="11">
        <v>960</v>
      </c>
      <c r="M62" s="11">
        <v>960</v>
      </c>
      <c r="N62" s="20"/>
      <c r="O62" s="11"/>
      <c r="P62" s="11"/>
      <c r="Q62" s="11"/>
      <c r="R62" s="20"/>
      <c r="S62" s="11"/>
      <c r="T62" s="11"/>
      <c r="U62" s="11"/>
    </row>
    <row r="63" spans="3:22" ht="21" customHeight="1" x14ac:dyDescent="0.55000000000000004">
      <c r="C63" s="246"/>
      <c r="D63" s="20" t="s">
        <v>83</v>
      </c>
      <c r="E63" s="20"/>
      <c r="F63" s="7">
        <v>8</v>
      </c>
      <c r="G63" s="7">
        <v>8</v>
      </c>
      <c r="H63" s="7">
        <v>8</v>
      </c>
      <c r="I63" s="7">
        <v>10</v>
      </c>
      <c r="J63" s="20"/>
      <c r="K63" s="7">
        <v>0</v>
      </c>
      <c r="L63" s="7">
        <v>0</v>
      </c>
      <c r="M63" s="7">
        <v>0</v>
      </c>
      <c r="N63" s="20"/>
      <c r="O63" s="7"/>
      <c r="P63" s="7"/>
      <c r="Q63" s="7"/>
      <c r="R63" s="20"/>
      <c r="S63" s="7"/>
      <c r="T63" s="7"/>
      <c r="U63" s="7"/>
    </row>
    <row r="64" spans="3:22" ht="21" customHeight="1" x14ac:dyDescent="0.55000000000000004">
      <c r="C64" s="246"/>
      <c r="D64" s="21" t="s">
        <v>17</v>
      </c>
      <c r="E64" s="20"/>
      <c r="F64" s="14">
        <v>800</v>
      </c>
      <c r="G64" s="11">
        <v>800</v>
      </c>
      <c r="H64" s="11">
        <v>800</v>
      </c>
      <c r="I64" s="11">
        <v>1000</v>
      </c>
      <c r="J64" s="20"/>
      <c r="K64" s="11">
        <v>0</v>
      </c>
      <c r="L64" s="11">
        <v>0</v>
      </c>
      <c r="M64" s="11">
        <v>0</v>
      </c>
      <c r="N64" s="20"/>
      <c r="O64" s="11"/>
      <c r="P64" s="11"/>
      <c r="Q64" s="11"/>
      <c r="R64" s="20"/>
      <c r="S64" s="11"/>
      <c r="T64" s="11"/>
      <c r="U64" s="11"/>
    </row>
    <row r="65" spans="3:26" ht="21" customHeight="1" x14ac:dyDescent="0.55000000000000004">
      <c r="C65" s="246"/>
      <c r="D65" s="22" t="s">
        <v>86</v>
      </c>
      <c r="E65" s="20"/>
      <c r="F65" s="7">
        <v>8</v>
      </c>
      <c r="G65" s="7">
        <v>6</v>
      </c>
      <c r="H65" s="7">
        <v>6</v>
      </c>
      <c r="I65" s="7">
        <v>5</v>
      </c>
      <c r="J65" s="20"/>
      <c r="K65" s="7">
        <v>5</v>
      </c>
      <c r="L65" s="7">
        <v>5</v>
      </c>
      <c r="M65" s="7">
        <v>5</v>
      </c>
      <c r="N65" s="20"/>
      <c r="O65" s="7"/>
      <c r="P65" s="7"/>
      <c r="Q65" s="7"/>
      <c r="R65" s="20"/>
      <c r="S65" s="7"/>
      <c r="T65" s="7"/>
      <c r="U65" s="7"/>
    </row>
    <row r="66" spans="3:26" ht="21" customHeight="1" x14ac:dyDescent="0.55000000000000004">
      <c r="C66" s="246"/>
      <c r="D66" s="21" t="s">
        <v>17</v>
      </c>
      <c r="E66" s="20"/>
      <c r="F66" s="25">
        <v>480</v>
      </c>
      <c r="G66" s="25">
        <v>360</v>
      </c>
      <c r="H66" s="25">
        <v>360</v>
      </c>
      <c r="I66" s="25">
        <v>300</v>
      </c>
      <c r="J66" s="20"/>
      <c r="K66" s="25">
        <v>300</v>
      </c>
      <c r="L66" s="25">
        <v>300</v>
      </c>
      <c r="M66" s="25">
        <v>300</v>
      </c>
      <c r="N66" s="20"/>
      <c r="O66" s="25"/>
      <c r="P66" s="25"/>
      <c r="Q66" s="25"/>
      <c r="R66" s="20"/>
      <c r="S66" s="25"/>
      <c r="T66" s="25"/>
      <c r="U66" s="25"/>
      <c r="Z66" s="26"/>
    </row>
    <row r="67" spans="3:26" ht="21" customHeight="1" x14ac:dyDescent="0.55000000000000004">
      <c r="C67" s="246"/>
      <c r="D67" s="24" t="s">
        <v>88</v>
      </c>
      <c r="E67" s="20"/>
      <c r="F67" s="7">
        <v>1</v>
      </c>
      <c r="G67" s="7">
        <v>5</v>
      </c>
      <c r="H67" s="7">
        <v>6</v>
      </c>
      <c r="I67" s="7">
        <v>6</v>
      </c>
      <c r="J67" s="20"/>
      <c r="K67" s="7">
        <v>2</v>
      </c>
      <c r="L67" s="7">
        <v>2</v>
      </c>
      <c r="M67" s="7">
        <v>0</v>
      </c>
      <c r="N67" s="20"/>
      <c r="O67" s="7"/>
      <c r="P67" s="7"/>
      <c r="Q67" s="7"/>
      <c r="R67" s="20"/>
      <c r="S67" s="7"/>
      <c r="T67" s="7"/>
      <c r="U67" s="7"/>
    </row>
    <row r="68" spans="3:26" ht="21" customHeight="1" x14ac:dyDescent="0.55000000000000004">
      <c r="C68" s="246"/>
      <c r="D68" s="21" t="s">
        <v>17</v>
      </c>
      <c r="E68" s="20"/>
      <c r="F68" s="25">
        <v>100</v>
      </c>
      <c r="G68" s="25">
        <v>500</v>
      </c>
      <c r="H68" s="25">
        <v>600</v>
      </c>
      <c r="I68" s="25">
        <v>600</v>
      </c>
      <c r="J68" s="20"/>
      <c r="K68" s="25">
        <v>200</v>
      </c>
      <c r="L68" s="25">
        <v>200</v>
      </c>
      <c r="M68" s="25">
        <v>0</v>
      </c>
      <c r="N68" s="20"/>
      <c r="O68" s="25"/>
      <c r="P68" s="25"/>
      <c r="Q68" s="25"/>
      <c r="R68" s="20"/>
      <c r="S68" s="25"/>
      <c r="T68" s="25"/>
      <c r="U68" s="25"/>
    </row>
    <row r="69" spans="3:26" ht="21" customHeight="1" x14ac:dyDescent="0.55000000000000004">
      <c r="C69" s="246"/>
      <c r="D69" s="24" t="s">
        <v>87</v>
      </c>
      <c r="E69" s="20"/>
      <c r="F69" s="33">
        <f t="shared" ref="F69:I70" si="0">SUM(F61,F63,F65,F67)</f>
        <v>37</v>
      </c>
      <c r="G69" s="33">
        <f t="shared" si="0"/>
        <v>39</v>
      </c>
      <c r="H69" s="33">
        <f t="shared" si="0"/>
        <v>39</v>
      </c>
      <c r="I69" s="33">
        <f>SUM(I61,I63,I65,I67)</f>
        <v>38</v>
      </c>
      <c r="J69" s="20"/>
      <c r="K69" s="33">
        <f t="shared" ref="K69:M70" si="1">SUM(K61,K63,K65,K67)</f>
        <v>23</v>
      </c>
      <c r="L69" s="33">
        <f t="shared" si="1"/>
        <v>23</v>
      </c>
      <c r="M69" s="33">
        <f t="shared" si="1"/>
        <v>21</v>
      </c>
      <c r="N69" s="20"/>
      <c r="O69" s="33"/>
      <c r="P69" s="33"/>
      <c r="Q69" s="33"/>
      <c r="R69" s="20"/>
      <c r="S69" s="33"/>
      <c r="T69" s="33"/>
      <c r="U69" s="33"/>
    </row>
    <row r="70" spans="3:26" ht="21" customHeight="1" x14ac:dyDescent="0.55000000000000004">
      <c r="C70" s="247"/>
      <c r="D70" s="36" t="s">
        <v>17</v>
      </c>
      <c r="E70" s="20"/>
      <c r="F70" s="33">
        <f t="shared" si="0"/>
        <v>2580</v>
      </c>
      <c r="G70" s="33">
        <f t="shared" si="0"/>
        <v>2860</v>
      </c>
      <c r="H70" s="33">
        <f t="shared" si="0"/>
        <v>2900</v>
      </c>
      <c r="I70" s="33">
        <f t="shared" si="0"/>
        <v>2920</v>
      </c>
      <c r="J70" s="20"/>
      <c r="K70" s="33">
        <f t="shared" si="1"/>
        <v>1460</v>
      </c>
      <c r="L70" s="33">
        <f t="shared" si="1"/>
        <v>1460</v>
      </c>
      <c r="M70" s="33">
        <f t="shared" si="1"/>
        <v>1260</v>
      </c>
      <c r="N70" s="20"/>
      <c r="O70" s="34"/>
      <c r="P70" s="34"/>
      <c r="Q70" s="34"/>
      <c r="R70" s="20"/>
      <c r="S70" s="34"/>
      <c r="T70" s="34"/>
      <c r="U70" s="34"/>
    </row>
    <row r="71" spans="3:26" ht="81" customHeight="1" x14ac:dyDescent="0.55000000000000004">
      <c r="C71" s="19"/>
      <c r="D71" s="19"/>
      <c r="E71" s="19"/>
      <c r="F71" s="249" t="s">
        <v>109</v>
      </c>
      <c r="G71" s="250"/>
      <c r="H71" s="249" t="s">
        <v>108</v>
      </c>
      <c r="I71" s="250"/>
      <c r="J71" s="250" t="s">
        <v>91</v>
      </c>
      <c r="K71" s="250"/>
      <c r="L71" s="249" t="s">
        <v>110</v>
      </c>
      <c r="M71" s="250"/>
      <c r="N71" s="250" t="s">
        <v>91</v>
      </c>
      <c r="O71" s="250"/>
      <c r="P71" s="250" t="s">
        <v>92</v>
      </c>
      <c r="Q71" s="250"/>
      <c r="R71" s="250" t="s">
        <v>91</v>
      </c>
      <c r="S71" s="250"/>
      <c r="T71" s="250" t="s">
        <v>92</v>
      </c>
      <c r="U71" s="250"/>
      <c r="V71" s="28"/>
    </row>
    <row r="72" spans="3:26" x14ac:dyDescent="0.55000000000000004">
      <c r="C72" s="231" t="s">
        <v>0</v>
      </c>
      <c r="D72" s="231"/>
      <c r="E72" s="6" t="s">
        <v>9</v>
      </c>
      <c r="F72" s="5" t="s">
        <v>4</v>
      </c>
      <c r="G72" s="5" t="s">
        <v>5</v>
      </c>
      <c r="H72" s="5" t="s">
        <v>6</v>
      </c>
      <c r="I72" s="5" t="s">
        <v>7</v>
      </c>
      <c r="J72" s="6" t="s">
        <v>9</v>
      </c>
      <c r="K72" s="5" t="s">
        <v>8</v>
      </c>
      <c r="L72" s="5" t="s">
        <v>10</v>
      </c>
      <c r="M72" s="5" t="s">
        <v>11</v>
      </c>
      <c r="N72" s="6" t="s">
        <v>9</v>
      </c>
      <c r="O72" s="5" t="s">
        <v>12</v>
      </c>
      <c r="P72" s="5" t="s">
        <v>13</v>
      </c>
      <c r="Q72" s="5" t="s">
        <v>14</v>
      </c>
      <c r="R72" s="6" t="s">
        <v>9</v>
      </c>
      <c r="S72" s="5" t="s">
        <v>15</v>
      </c>
      <c r="T72" s="5" t="s">
        <v>16</v>
      </c>
      <c r="U72" s="5" t="s">
        <v>4</v>
      </c>
      <c r="V72" s="4" t="s">
        <v>102</v>
      </c>
    </row>
    <row r="73" spans="3:26" x14ac:dyDescent="0.55000000000000004">
      <c r="C73" s="245" t="s">
        <v>27</v>
      </c>
      <c r="D73" s="239" t="s">
        <v>18</v>
      </c>
      <c r="E73" s="230">
        <v>5</v>
      </c>
      <c r="F73" s="7">
        <v>4</v>
      </c>
      <c r="G73" s="7">
        <v>4</v>
      </c>
      <c r="H73" s="7">
        <v>4</v>
      </c>
      <c r="I73" s="7">
        <v>4</v>
      </c>
      <c r="J73" s="230">
        <v>5</v>
      </c>
      <c r="K73" s="7">
        <v>4</v>
      </c>
      <c r="L73" s="7">
        <v>4</v>
      </c>
      <c r="M73" s="7">
        <v>4</v>
      </c>
      <c r="N73" s="230"/>
      <c r="O73" s="7"/>
      <c r="P73" s="7"/>
      <c r="Q73" s="7"/>
      <c r="R73" s="230"/>
      <c r="S73" s="7"/>
      <c r="T73" s="7"/>
      <c r="U73" s="7"/>
    </row>
    <row r="74" spans="3:26" x14ac:dyDescent="0.55000000000000004">
      <c r="C74" s="242"/>
      <c r="D74" s="240"/>
      <c r="E74" s="230"/>
      <c r="F74" s="8">
        <f>F73-E73</f>
        <v>-1</v>
      </c>
      <c r="G74" s="8">
        <f>G73-E73</f>
        <v>-1</v>
      </c>
      <c r="H74" s="8">
        <f>H73-F73</f>
        <v>0</v>
      </c>
      <c r="I74" s="8">
        <f>I73-E73</f>
        <v>-1</v>
      </c>
      <c r="J74" s="230"/>
      <c r="K74" s="8">
        <f>K73-E73</f>
        <v>-1</v>
      </c>
      <c r="L74" s="8">
        <f>L73-E73</f>
        <v>-1</v>
      </c>
      <c r="M74" s="8">
        <f>M73-E73</f>
        <v>-1</v>
      </c>
      <c r="N74" s="230"/>
      <c r="O74" s="10"/>
      <c r="P74" s="10"/>
      <c r="Q74" s="10"/>
      <c r="R74" s="230"/>
      <c r="S74" s="10"/>
      <c r="T74" s="10"/>
      <c r="U74" s="10"/>
    </row>
    <row r="75" spans="3:26" x14ac:dyDescent="0.55000000000000004">
      <c r="C75" s="242"/>
      <c r="D75" s="232" t="s">
        <v>17</v>
      </c>
      <c r="E75" s="230">
        <v>825</v>
      </c>
      <c r="F75" s="11">
        <v>660</v>
      </c>
      <c r="G75" s="11">
        <v>660</v>
      </c>
      <c r="H75" s="11">
        <v>660</v>
      </c>
      <c r="I75" s="11">
        <v>660</v>
      </c>
      <c r="J75" s="230">
        <v>660</v>
      </c>
      <c r="K75" s="11">
        <v>660</v>
      </c>
      <c r="L75" s="11">
        <v>660</v>
      </c>
      <c r="M75" s="11">
        <v>660</v>
      </c>
      <c r="N75" s="230"/>
      <c r="O75" s="12"/>
      <c r="P75" s="12"/>
      <c r="Q75" s="12"/>
      <c r="R75" s="230"/>
      <c r="S75" s="12"/>
      <c r="T75" s="12"/>
      <c r="U75" s="12"/>
    </row>
    <row r="76" spans="3:26" x14ac:dyDescent="0.55000000000000004">
      <c r="C76" s="242"/>
      <c r="D76" s="233"/>
      <c r="E76" s="230"/>
      <c r="F76" s="11">
        <f>F75-E75</f>
        <v>-165</v>
      </c>
      <c r="G76" s="11">
        <f>G75-E75</f>
        <v>-165</v>
      </c>
      <c r="H76" s="11">
        <f>H75-E75</f>
        <v>-165</v>
      </c>
      <c r="I76" s="11">
        <f>I75-E75</f>
        <v>-165</v>
      </c>
      <c r="J76" s="230"/>
      <c r="K76" s="11">
        <f>K75-E75</f>
        <v>-165</v>
      </c>
      <c r="L76" s="11">
        <f>L75-E75</f>
        <v>-165</v>
      </c>
      <c r="M76" s="11">
        <f>M75-E75</f>
        <v>-165</v>
      </c>
      <c r="N76" s="230"/>
      <c r="O76" s="12"/>
      <c r="P76" s="12"/>
      <c r="Q76" s="12"/>
      <c r="R76" s="230"/>
      <c r="S76" s="12"/>
      <c r="T76" s="12"/>
      <c r="U76" s="12"/>
    </row>
    <row r="77" spans="3:26" x14ac:dyDescent="0.55000000000000004">
      <c r="C77" s="242"/>
      <c r="D77" s="239" t="s">
        <v>19</v>
      </c>
      <c r="E77" s="230">
        <v>5</v>
      </c>
      <c r="F77" s="7">
        <v>5.3</v>
      </c>
      <c r="G77" s="7">
        <v>5.3</v>
      </c>
      <c r="H77" s="7">
        <v>5</v>
      </c>
      <c r="I77" s="7">
        <v>5</v>
      </c>
      <c r="J77" s="230">
        <v>5</v>
      </c>
      <c r="K77" s="7">
        <v>5</v>
      </c>
      <c r="L77" s="7">
        <v>5</v>
      </c>
      <c r="M77" s="7">
        <v>5</v>
      </c>
      <c r="N77" s="230"/>
      <c r="O77" s="7"/>
      <c r="P77" s="7"/>
      <c r="Q77" s="7"/>
      <c r="R77" s="230"/>
      <c r="S77" s="7"/>
      <c r="T77" s="7"/>
      <c r="U77" s="7"/>
    </row>
    <row r="78" spans="3:26" x14ac:dyDescent="0.55000000000000004">
      <c r="C78" s="242"/>
      <c r="D78" s="240"/>
      <c r="E78" s="230"/>
      <c r="F78" s="7">
        <f>F77-E77</f>
        <v>0.29999999999999982</v>
      </c>
      <c r="G78" s="8">
        <f>G77-E77</f>
        <v>0.29999999999999982</v>
      </c>
      <c r="H78" s="8">
        <f>H77-E77</f>
        <v>0</v>
      </c>
      <c r="I78" s="8">
        <f>I77-E77</f>
        <v>0</v>
      </c>
      <c r="J78" s="230"/>
      <c r="K78" s="8">
        <f>K77-E77</f>
        <v>0</v>
      </c>
      <c r="L78" s="8">
        <f>L77-E77</f>
        <v>0</v>
      </c>
      <c r="M78" s="8">
        <f>M77-E77</f>
        <v>0</v>
      </c>
      <c r="N78" s="230"/>
      <c r="O78" s="10"/>
      <c r="P78" s="10"/>
      <c r="Q78" s="10"/>
      <c r="R78" s="230"/>
      <c r="S78" s="10"/>
      <c r="T78" s="10"/>
      <c r="U78" s="10"/>
    </row>
    <row r="79" spans="3:26" x14ac:dyDescent="0.55000000000000004">
      <c r="C79" s="242"/>
      <c r="D79" s="232" t="s">
        <v>17</v>
      </c>
      <c r="E79" s="230">
        <v>300</v>
      </c>
      <c r="F79" s="14">
        <v>300</v>
      </c>
      <c r="G79" s="11">
        <v>300</v>
      </c>
      <c r="H79" s="11">
        <v>300</v>
      </c>
      <c r="I79" s="11">
        <v>300</v>
      </c>
      <c r="J79" s="230">
        <v>300</v>
      </c>
      <c r="K79" s="11">
        <v>300</v>
      </c>
      <c r="L79" s="11">
        <v>300</v>
      </c>
      <c r="M79" s="11">
        <v>300</v>
      </c>
      <c r="N79" s="230"/>
      <c r="O79" s="12"/>
      <c r="P79" s="12"/>
      <c r="Q79" s="12"/>
      <c r="R79" s="230"/>
      <c r="S79" s="12"/>
      <c r="T79" s="12"/>
      <c r="U79" s="12"/>
    </row>
    <row r="80" spans="3:26" x14ac:dyDescent="0.55000000000000004">
      <c r="C80" s="248"/>
      <c r="D80" s="233"/>
      <c r="E80" s="230"/>
      <c r="F80" s="14">
        <f>F79-E79</f>
        <v>0</v>
      </c>
      <c r="G80" s="11">
        <f>G79-E79</f>
        <v>0</v>
      </c>
      <c r="H80" s="13">
        <f>H79-E79</f>
        <v>0</v>
      </c>
      <c r="I80" s="13">
        <f>I79-E79</f>
        <v>0</v>
      </c>
      <c r="J80" s="230"/>
      <c r="K80" s="13">
        <f>K79-E79</f>
        <v>0</v>
      </c>
      <c r="L80" s="13">
        <f>L79-E79</f>
        <v>0</v>
      </c>
      <c r="M80" s="13">
        <f>M79-E79</f>
        <v>0</v>
      </c>
      <c r="N80" s="230"/>
      <c r="O80" s="12"/>
      <c r="P80" s="12"/>
      <c r="Q80" s="12"/>
      <c r="R80" s="230"/>
      <c r="S80" s="12"/>
      <c r="T80" s="12"/>
      <c r="U80" s="12"/>
    </row>
    <row r="81" spans="3:22" ht="41.5" customHeight="1" x14ac:dyDescent="0.55000000000000004">
      <c r="C81" s="19"/>
      <c r="D81" s="19"/>
      <c r="E81" s="19"/>
      <c r="F81" s="251" t="s">
        <v>91</v>
      </c>
      <c r="G81" s="251"/>
      <c r="H81" s="252" t="s">
        <v>111</v>
      </c>
      <c r="I81" s="251"/>
      <c r="J81" s="251" t="s">
        <v>91</v>
      </c>
      <c r="K81" s="251"/>
      <c r="L81" s="251" t="s">
        <v>92</v>
      </c>
      <c r="M81" s="251"/>
      <c r="N81" s="251" t="s">
        <v>91</v>
      </c>
      <c r="O81" s="251"/>
      <c r="P81" s="251" t="s">
        <v>92</v>
      </c>
      <c r="Q81" s="251"/>
      <c r="R81" s="251" t="s">
        <v>91</v>
      </c>
      <c r="S81" s="251"/>
      <c r="T81" s="251" t="s">
        <v>92</v>
      </c>
      <c r="U81" s="251"/>
    </row>
    <row r="82" spans="3:22" x14ac:dyDescent="0.55000000000000004">
      <c r="C82" s="231" t="s">
        <v>0</v>
      </c>
      <c r="D82" s="231"/>
      <c r="E82" s="6" t="s">
        <v>9</v>
      </c>
      <c r="F82" s="5" t="s">
        <v>4</v>
      </c>
      <c r="G82" s="5" t="s">
        <v>5</v>
      </c>
      <c r="H82" s="5" t="s">
        <v>6</v>
      </c>
      <c r="I82" s="5" t="s">
        <v>7</v>
      </c>
      <c r="J82" s="6" t="s">
        <v>9</v>
      </c>
      <c r="K82" s="5" t="s">
        <v>8</v>
      </c>
      <c r="L82" s="5" t="s">
        <v>10</v>
      </c>
      <c r="M82" s="5" t="s">
        <v>11</v>
      </c>
      <c r="N82" s="6" t="s">
        <v>9</v>
      </c>
      <c r="O82" s="5" t="s">
        <v>12</v>
      </c>
      <c r="P82" s="5" t="s">
        <v>13</v>
      </c>
      <c r="Q82" s="5" t="s">
        <v>14</v>
      </c>
      <c r="R82" s="6" t="s">
        <v>9</v>
      </c>
      <c r="S82" s="5" t="s">
        <v>15</v>
      </c>
      <c r="T82" s="5" t="s">
        <v>16</v>
      </c>
      <c r="U82" s="5" t="s">
        <v>4</v>
      </c>
      <c r="V82" s="4" t="s">
        <v>102</v>
      </c>
    </row>
    <row r="83" spans="3:22" x14ac:dyDescent="0.55000000000000004">
      <c r="C83" s="230" t="s">
        <v>28</v>
      </c>
      <c r="D83" s="230" t="s">
        <v>3</v>
      </c>
      <c r="E83" s="230">
        <v>8</v>
      </c>
      <c r="F83" s="7">
        <v>8</v>
      </c>
      <c r="G83" s="7">
        <v>8</v>
      </c>
      <c r="H83" s="7">
        <v>8</v>
      </c>
      <c r="I83" s="7">
        <v>8</v>
      </c>
      <c r="J83" s="230">
        <v>8</v>
      </c>
      <c r="K83" s="7">
        <v>10</v>
      </c>
      <c r="L83" s="7">
        <v>10</v>
      </c>
      <c r="M83" s="7">
        <v>10</v>
      </c>
      <c r="N83" s="230"/>
      <c r="O83" s="7"/>
      <c r="P83" s="7"/>
      <c r="Q83" s="7"/>
      <c r="R83" s="230"/>
      <c r="S83" s="7"/>
      <c r="T83" s="7"/>
      <c r="U83" s="7"/>
    </row>
    <row r="84" spans="3:22" x14ac:dyDescent="0.55000000000000004">
      <c r="C84" s="230"/>
      <c r="D84" s="230"/>
      <c r="E84" s="230"/>
      <c r="F84" s="15">
        <f>F83-E83</f>
        <v>0</v>
      </c>
      <c r="G84" s="15">
        <f>G83-E83</f>
        <v>0</v>
      </c>
      <c r="H84" s="15">
        <f>H83-E83</f>
        <v>0</v>
      </c>
      <c r="I84" s="15">
        <f>I83-E83</f>
        <v>0</v>
      </c>
      <c r="J84" s="230"/>
      <c r="K84" s="15">
        <f>K83-J83</f>
        <v>2</v>
      </c>
      <c r="L84" s="15">
        <f>L83-J83</f>
        <v>2</v>
      </c>
      <c r="M84" s="15">
        <f>M83-J83</f>
        <v>2</v>
      </c>
      <c r="N84" s="230"/>
      <c r="O84" s="10"/>
      <c r="P84" s="10"/>
      <c r="Q84" s="10"/>
      <c r="R84" s="230"/>
      <c r="S84" s="10"/>
      <c r="T84" s="10"/>
      <c r="U84" s="10"/>
    </row>
    <row r="85" spans="3:22" x14ac:dyDescent="0.55000000000000004">
      <c r="C85" s="230"/>
      <c r="D85" s="234" t="s">
        <v>17</v>
      </c>
      <c r="E85" s="230">
        <v>1355</v>
      </c>
      <c r="F85" s="14">
        <v>1355</v>
      </c>
      <c r="G85" s="11">
        <v>1355</v>
      </c>
      <c r="H85" s="11">
        <v>1366</v>
      </c>
      <c r="I85" s="11">
        <v>1355</v>
      </c>
      <c r="J85" s="230">
        <v>1355</v>
      </c>
      <c r="K85" s="11">
        <v>1555</v>
      </c>
      <c r="L85" s="11">
        <v>1555</v>
      </c>
      <c r="M85" s="11">
        <v>1555</v>
      </c>
      <c r="N85" s="230"/>
      <c r="O85" s="11"/>
      <c r="P85" s="11"/>
      <c r="Q85" s="11"/>
      <c r="R85" s="230"/>
      <c r="S85" s="11"/>
      <c r="T85" s="11"/>
      <c r="U85" s="11"/>
    </row>
    <row r="86" spans="3:22" x14ac:dyDescent="0.55000000000000004">
      <c r="C86" s="230"/>
      <c r="D86" s="235"/>
      <c r="E86" s="230"/>
      <c r="F86" s="14">
        <f>F85-E85</f>
        <v>0</v>
      </c>
      <c r="G86" s="18">
        <f>G85-E85</f>
        <v>0</v>
      </c>
      <c r="H86" s="18">
        <f>H85-E85</f>
        <v>11</v>
      </c>
      <c r="I86" s="18">
        <f>I85-E85</f>
        <v>0</v>
      </c>
      <c r="J86" s="230"/>
      <c r="K86" s="18">
        <f>K85-J85</f>
        <v>200</v>
      </c>
      <c r="L86" s="18">
        <f>L85-J85</f>
        <v>200</v>
      </c>
      <c r="M86" s="18">
        <f>M85-J85</f>
        <v>200</v>
      </c>
      <c r="N86" s="230"/>
      <c r="O86" s="11"/>
      <c r="P86" s="11"/>
      <c r="Q86" s="11"/>
      <c r="R86" s="230"/>
      <c r="S86" s="11"/>
      <c r="T86" s="11"/>
      <c r="U86" s="11"/>
    </row>
    <row r="87" spans="3:22" ht="49.5" customHeight="1" x14ac:dyDescent="0.55000000000000004">
      <c r="C87" s="19"/>
      <c r="D87" s="19"/>
      <c r="E87" s="19"/>
      <c r="F87" s="236" t="s">
        <v>114</v>
      </c>
      <c r="G87" s="237"/>
      <c r="H87" s="236" t="s">
        <v>112</v>
      </c>
      <c r="I87" s="237"/>
      <c r="J87" s="236" t="s">
        <v>113</v>
      </c>
      <c r="K87" s="237"/>
      <c r="L87" s="237" t="s">
        <v>92</v>
      </c>
      <c r="M87" s="237"/>
      <c r="N87" s="237" t="s">
        <v>91</v>
      </c>
      <c r="O87" s="237"/>
      <c r="P87" s="237" t="s">
        <v>92</v>
      </c>
      <c r="Q87" s="237"/>
      <c r="R87" s="237" t="s">
        <v>91</v>
      </c>
      <c r="S87" s="237"/>
      <c r="T87" s="237" t="s">
        <v>92</v>
      </c>
      <c r="U87" s="237"/>
    </row>
    <row r="88" spans="3:22" x14ac:dyDescent="0.55000000000000004">
      <c r="C88" s="231" t="s">
        <v>0</v>
      </c>
      <c r="D88" s="231"/>
      <c r="E88" s="6" t="s">
        <v>9</v>
      </c>
      <c r="F88" s="5" t="s">
        <v>4</v>
      </c>
      <c r="G88" s="5" t="s">
        <v>5</v>
      </c>
      <c r="H88" s="5" t="s">
        <v>6</v>
      </c>
      <c r="I88" s="5" t="s">
        <v>7</v>
      </c>
      <c r="J88" s="6" t="s">
        <v>9</v>
      </c>
      <c r="K88" s="5" t="s">
        <v>8</v>
      </c>
      <c r="L88" s="5" t="s">
        <v>10</v>
      </c>
      <c r="M88" s="5" t="s">
        <v>11</v>
      </c>
      <c r="N88" s="6" t="s">
        <v>9</v>
      </c>
      <c r="O88" s="5" t="s">
        <v>12</v>
      </c>
      <c r="P88" s="5" t="s">
        <v>13</v>
      </c>
      <c r="Q88" s="5" t="s">
        <v>14</v>
      </c>
      <c r="R88" s="6" t="s">
        <v>9</v>
      </c>
      <c r="S88" s="5" t="s">
        <v>15</v>
      </c>
      <c r="T88" s="5" t="s">
        <v>16</v>
      </c>
      <c r="U88" s="5" t="s">
        <v>4</v>
      </c>
      <c r="V88" s="27" t="s">
        <v>120</v>
      </c>
    </row>
    <row r="89" spans="3:22" x14ac:dyDescent="0.55000000000000004">
      <c r="C89" s="245" t="s">
        <v>29</v>
      </c>
      <c r="D89" s="239" t="s">
        <v>18</v>
      </c>
      <c r="E89" s="230">
        <v>16</v>
      </c>
      <c r="F89" s="7">
        <v>16</v>
      </c>
      <c r="G89" s="7">
        <v>16</v>
      </c>
      <c r="H89" s="7">
        <v>16</v>
      </c>
      <c r="I89" s="7">
        <v>16</v>
      </c>
      <c r="J89" s="230">
        <v>16</v>
      </c>
      <c r="K89" s="7">
        <v>17</v>
      </c>
      <c r="L89" s="7">
        <v>17</v>
      </c>
      <c r="M89" s="7">
        <v>17</v>
      </c>
      <c r="N89" s="230"/>
      <c r="O89" s="7"/>
      <c r="P89" s="7"/>
      <c r="Q89" s="7"/>
      <c r="R89" s="230"/>
      <c r="S89" s="7"/>
      <c r="T89" s="7"/>
      <c r="U89" s="7"/>
    </row>
    <row r="90" spans="3:22" x14ac:dyDescent="0.55000000000000004">
      <c r="C90" s="242"/>
      <c r="D90" s="240"/>
      <c r="E90" s="230"/>
      <c r="F90" s="8">
        <f>F89-E89</f>
        <v>0</v>
      </c>
      <c r="G90" s="8">
        <f>G89-E89</f>
        <v>0</v>
      </c>
      <c r="H90" s="8">
        <f>H89-F89</f>
        <v>0</v>
      </c>
      <c r="I90" s="8">
        <f>I89-E89</f>
        <v>0</v>
      </c>
      <c r="J90" s="230"/>
      <c r="K90" s="8">
        <f>K89-E89</f>
        <v>1</v>
      </c>
      <c r="L90" s="8">
        <f>L89-E89</f>
        <v>1</v>
      </c>
      <c r="M90" s="8">
        <f>M89-E89</f>
        <v>1</v>
      </c>
      <c r="N90" s="230"/>
      <c r="O90" s="10"/>
      <c r="P90" s="10"/>
      <c r="Q90" s="10"/>
      <c r="R90" s="230"/>
      <c r="S90" s="10"/>
      <c r="T90" s="10"/>
      <c r="U90" s="10"/>
    </row>
    <row r="91" spans="3:22" x14ac:dyDescent="0.55000000000000004">
      <c r="C91" s="242"/>
      <c r="D91" s="232" t="s">
        <v>17</v>
      </c>
      <c r="E91" s="230">
        <v>2710</v>
      </c>
      <c r="F91" s="11">
        <v>2710</v>
      </c>
      <c r="G91" s="11">
        <v>2710</v>
      </c>
      <c r="H91" s="11">
        <v>2710</v>
      </c>
      <c r="I91" s="11">
        <v>2710</v>
      </c>
      <c r="J91" s="230">
        <v>660</v>
      </c>
      <c r="K91" s="11">
        <v>2710</v>
      </c>
      <c r="L91" s="11">
        <v>2710</v>
      </c>
      <c r="M91" s="11">
        <v>2710</v>
      </c>
      <c r="N91" s="230"/>
      <c r="O91" s="12"/>
      <c r="P91" s="12"/>
      <c r="Q91" s="12"/>
      <c r="R91" s="230"/>
      <c r="S91" s="12"/>
      <c r="T91" s="12"/>
      <c r="U91" s="12"/>
    </row>
    <row r="92" spans="3:22" x14ac:dyDescent="0.55000000000000004">
      <c r="C92" s="242"/>
      <c r="D92" s="233"/>
      <c r="E92" s="230"/>
      <c r="F92" s="11">
        <f>F91-E91</f>
        <v>0</v>
      </c>
      <c r="G92" s="11">
        <f>G91-E91</f>
        <v>0</v>
      </c>
      <c r="H92" s="11">
        <f>H91-E91</f>
        <v>0</v>
      </c>
      <c r="I92" s="11">
        <f>I91-E91</f>
        <v>0</v>
      </c>
      <c r="J92" s="230"/>
      <c r="K92" s="11">
        <f>K91-E91</f>
        <v>0</v>
      </c>
      <c r="L92" s="11">
        <f>L91-E91</f>
        <v>0</v>
      </c>
      <c r="M92" s="11">
        <f>M91-E91</f>
        <v>0</v>
      </c>
      <c r="N92" s="230"/>
      <c r="O92" s="12"/>
      <c r="P92" s="12"/>
      <c r="Q92" s="12"/>
      <c r="R92" s="230"/>
      <c r="S92" s="12"/>
      <c r="T92" s="12"/>
      <c r="U92" s="12"/>
    </row>
    <row r="93" spans="3:22" ht="22" customHeight="1" x14ac:dyDescent="0.55000000000000004">
      <c r="C93" s="242"/>
      <c r="D93" s="239" t="s">
        <v>19</v>
      </c>
      <c r="E93" s="230">
        <v>7</v>
      </c>
      <c r="F93" s="7">
        <v>7</v>
      </c>
      <c r="G93" s="7">
        <v>7</v>
      </c>
      <c r="H93" s="7">
        <v>7</v>
      </c>
      <c r="I93" s="7">
        <v>7</v>
      </c>
      <c r="J93" s="230">
        <v>7</v>
      </c>
      <c r="K93" s="7">
        <v>6</v>
      </c>
      <c r="L93" s="7">
        <v>6</v>
      </c>
      <c r="M93" s="7">
        <v>6</v>
      </c>
      <c r="N93" s="230"/>
      <c r="O93" s="7"/>
      <c r="P93" s="7"/>
      <c r="Q93" s="7"/>
      <c r="R93" s="230"/>
      <c r="S93" s="7"/>
      <c r="T93" s="7"/>
      <c r="U93" s="7"/>
    </row>
    <row r="94" spans="3:22" x14ac:dyDescent="0.55000000000000004">
      <c r="C94" s="242"/>
      <c r="D94" s="240"/>
      <c r="E94" s="230"/>
      <c r="F94" s="7">
        <f>F93-E93</f>
        <v>0</v>
      </c>
      <c r="G94" s="8">
        <f>G93-E93</f>
        <v>0</v>
      </c>
      <c r="H94" s="9">
        <f>H93-E93</f>
        <v>0</v>
      </c>
      <c r="I94" s="9">
        <f>I93-E93</f>
        <v>0</v>
      </c>
      <c r="J94" s="230"/>
      <c r="K94" s="9">
        <f>K93-E93</f>
        <v>-1</v>
      </c>
      <c r="L94" s="9">
        <f>L93-E93</f>
        <v>-1</v>
      </c>
      <c r="M94" s="9">
        <f>M93-E93</f>
        <v>-1</v>
      </c>
      <c r="N94" s="230"/>
      <c r="O94" s="10"/>
      <c r="P94" s="10"/>
      <c r="Q94" s="10"/>
      <c r="R94" s="230"/>
      <c r="S94" s="10"/>
      <c r="T94" s="10"/>
      <c r="U94" s="10"/>
    </row>
    <row r="95" spans="3:22" x14ac:dyDescent="0.55000000000000004">
      <c r="C95" s="242"/>
      <c r="D95" s="232" t="s">
        <v>17</v>
      </c>
      <c r="E95" s="230">
        <v>325</v>
      </c>
      <c r="F95" s="14">
        <v>350</v>
      </c>
      <c r="G95" s="11">
        <v>350</v>
      </c>
      <c r="H95" s="11">
        <v>285</v>
      </c>
      <c r="I95" s="11">
        <v>220</v>
      </c>
      <c r="J95" s="230">
        <v>325</v>
      </c>
      <c r="K95" s="11">
        <v>220</v>
      </c>
      <c r="L95" s="11">
        <v>220</v>
      </c>
      <c r="M95" s="11">
        <v>220</v>
      </c>
      <c r="N95" s="230"/>
      <c r="O95" s="12"/>
      <c r="P95" s="12"/>
      <c r="Q95" s="12"/>
      <c r="R95" s="230"/>
      <c r="S95" s="12"/>
      <c r="T95" s="12"/>
      <c r="U95" s="12"/>
    </row>
    <row r="96" spans="3:22" x14ac:dyDescent="0.55000000000000004">
      <c r="C96" s="242"/>
      <c r="D96" s="233"/>
      <c r="E96" s="230"/>
      <c r="F96" s="14">
        <f>F95-E95</f>
        <v>25</v>
      </c>
      <c r="G96" s="11">
        <f>G95-E95</f>
        <v>25</v>
      </c>
      <c r="H96" s="13">
        <f>H95-E95</f>
        <v>-40</v>
      </c>
      <c r="I96" s="13">
        <f>I95-E95</f>
        <v>-105</v>
      </c>
      <c r="J96" s="230"/>
      <c r="K96" s="13">
        <f>K95-E95</f>
        <v>-105</v>
      </c>
      <c r="L96" s="13">
        <f>L95-E95</f>
        <v>-105</v>
      </c>
      <c r="M96" s="13">
        <f>M95-E95</f>
        <v>-105</v>
      </c>
      <c r="N96" s="230"/>
      <c r="O96" s="12"/>
      <c r="P96" s="12"/>
      <c r="Q96" s="12"/>
      <c r="R96" s="230"/>
      <c r="S96" s="12"/>
      <c r="T96" s="12"/>
      <c r="U96" s="12"/>
    </row>
    <row r="97" spans="3:23" ht="51.5" customHeight="1" x14ac:dyDescent="0.55000000000000004">
      <c r="C97" s="19"/>
      <c r="D97" s="19"/>
      <c r="E97" s="19"/>
      <c r="F97" s="237" t="s">
        <v>91</v>
      </c>
      <c r="G97" s="237"/>
      <c r="H97" s="236" t="s">
        <v>116</v>
      </c>
      <c r="I97" s="237"/>
      <c r="J97" s="236" t="s">
        <v>115</v>
      </c>
      <c r="K97" s="237"/>
      <c r="L97" s="237" t="s">
        <v>92</v>
      </c>
      <c r="M97" s="237"/>
      <c r="N97" s="237" t="s">
        <v>91</v>
      </c>
      <c r="O97" s="237"/>
      <c r="P97" s="237" t="s">
        <v>92</v>
      </c>
      <c r="Q97" s="237"/>
      <c r="R97" s="237" t="s">
        <v>91</v>
      </c>
      <c r="S97" s="237"/>
      <c r="T97" s="237" t="s">
        <v>92</v>
      </c>
      <c r="U97" s="237"/>
      <c r="W97" s="28"/>
    </row>
    <row r="98" spans="3:23" ht="18" customHeight="1" x14ac:dyDescent="0.55000000000000004">
      <c r="C98" s="231" t="s">
        <v>0</v>
      </c>
      <c r="D98" s="231"/>
      <c r="E98" s="6" t="s">
        <v>9</v>
      </c>
      <c r="F98" s="5" t="s">
        <v>4</v>
      </c>
      <c r="G98" s="5" t="s">
        <v>5</v>
      </c>
      <c r="H98" s="5" t="s">
        <v>6</v>
      </c>
      <c r="I98" s="5" t="s">
        <v>7</v>
      </c>
      <c r="J98" s="6" t="s">
        <v>9</v>
      </c>
      <c r="K98" s="5" t="s">
        <v>8</v>
      </c>
      <c r="L98" s="5" t="s">
        <v>10</v>
      </c>
      <c r="M98" s="5" t="s">
        <v>11</v>
      </c>
      <c r="N98" s="6" t="s">
        <v>9</v>
      </c>
      <c r="O98" s="5" t="s">
        <v>12</v>
      </c>
      <c r="P98" s="5" t="s">
        <v>13</v>
      </c>
      <c r="Q98" s="5" t="s">
        <v>14</v>
      </c>
      <c r="R98" s="6" t="s">
        <v>9</v>
      </c>
      <c r="S98" s="5" t="s">
        <v>15</v>
      </c>
      <c r="T98" s="5" t="s">
        <v>16</v>
      </c>
      <c r="U98" s="5" t="s">
        <v>4</v>
      </c>
      <c r="V98" s="27" t="s">
        <v>120</v>
      </c>
      <c r="W98" s="28"/>
    </row>
    <row r="99" spans="3:23" ht="18" customHeight="1" x14ac:dyDescent="0.55000000000000004">
      <c r="C99" s="245" t="s">
        <v>117</v>
      </c>
      <c r="D99" s="239" t="s">
        <v>18</v>
      </c>
      <c r="E99" s="230">
        <v>8</v>
      </c>
      <c r="F99" s="7">
        <v>8</v>
      </c>
      <c r="G99" s="7">
        <v>8</v>
      </c>
      <c r="H99" s="7">
        <v>8</v>
      </c>
      <c r="I99" s="7">
        <v>8</v>
      </c>
      <c r="J99" s="230">
        <v>10</v>
      </c>
      <c r="K99" s="7">
        <v>8</v>
      </c>
      <c r="L99" s="7">
        <v>8</v>
      </c>
      <c r="M99" s="7">
        <v>8</v>
      </c>
      <c r="N99" s="230"/>
      <c r="O99" s="7"/>
      <c r="P99" s="7"/>
      <c r="Q99" s="7"/>
      <c r="R99" s="230"/>
      <c r="S99" s="7"/>
      <c r="T99" s="7"/>
      <c r="U99" s="7"/>
      <c r="W99" s="28"/>
    </row>
    <row r="100" spans="3:23" ht="18" customHeight="1" x14ac:dyDescent="0.55000000000000004">
      <c r="C100" s="242"/>
      <c r="D100" s="240"/>
      <c r="E100" s="230"/>
      <c r="F100" s="8">
        <f>F99-E99</f>
        <v>0</v>
      </c>
      <c r="G100" s="8">
        <f>G99-E99</f>
        <v>0</v>
      </c>
      <c r="H100" s="8">
        <f>H99-F99</f>
        <v>0</v>
      </c>
      <c r="I100" s="8">
        <f>I99-E99</f>
        <v>0</v>
      </c>
      <c r="J100" s="230"/>
      <c r="K100" s="8">
        <f>K99-E99</f>
        <v>0</v>
      </c>
      <c r="L100" s="8">
        <f>L99-E99</f>
        <v>0</v>
      </c>
      <c r="M100" s="8">
        <f>M99-E99</f>
        <v>0</v>
      </c>
      <c r="N100" s="230"/>
      <c r="O100" s="10"/>
      <c r="P100" s="10"/>
      <c r="Q100" s="10"/>
      <c r="R100" s="230"/>
      <c r="S100" s="10"/>
      <c r="T100" s="10"/>
      <c r="U100" s="10"/>
      <c r="W100" s="28"/>
    </row>
    <row r="101" spans="3:23" ht="18" customHeight="1" x14ac:dyDescent="0.55000000000000004">
      <c r="C101" s="242"/>
      <c r="D101" s="232" t="s">
        <v>17</v>
      </c>
      <c r="E101" s="230">
        <v>1460</v>
      </c>
      <c r="F101" s="11">
        <v>1460</v>
      </c>
      <c r="G101" s="11">
        <v>1460</v>
      </c>
      <c r="H101" s="11">
        <v>1460</v>
      </c>
      <c r="I101" s="11">
        <v>1460</v>
      </c>
      <c r="J101" s="230">
        <v>1460</v>
      </c>
      <c r="K101" s="11">
        <v>1460</v>
      </c>
      <c r="L101" s="11">
        <v>1460</v>
      </c>
      <c r="M101" s="11">
        <v>1460</v>
      </c>
      <c r="N101" s="230"/>
      <c r="O101" s="12"/>
      <c r="P101" s="12"/>
      <c r="Q101" s="12"/>
      <c r="R101" s="230"/>
      <c r="S101" s="12"/>
      <c r="T101" s="12"/>
      <c r="U101" s="12"/>
      <c r="W101" s="28"/>
    </row>
    <row r="102" spans="3:23" ht="18" customHeight="1" x14ac:dyDescent="0.55000000000000004">
      <c r="C102" s="242"/>
      <c r="D102" s="233"/>
      <c r="E102" s="230"/>
      <c r="F102" s="11">
        <f>F101-E101</f>
        <v>0</v>
      </c>
      <c r="G102" s="11">
        <f>G101-E101</f>
        <v>0</v>
      </c>
      <c r="H102" s="11">
        <f>H101-E101</f>
        <v>0</v>
      </c>
      <c r="I102" s="11">
        <f>I101-E101</f>
        <v>0</v>
      </c>
      <c r="J102" s="230"/>
      <c r="K102" s="11">
        <f>K101-E101</f>
        <v>0</v>
      </c>
      <c r="L102" s="11">
        <f>L101-E101</f>
        <v>0</v>
      </c>
      <c r="M102" s="11">
        <f>M101-E101</f>
        <v>0</v>
      </c>
      <c r="N102" s="230"/>
      <c r="O102" s="12"/>
      <c r="P102" s="12"/>
      <c r="Q102" s="12"/>
      <c r="R102" s="230"/>
      <c r="S102" s="12"/>
      <c r="T102" s="12"/>
      <c r="U102" s="12"/>
      <c r="W102" s="28"/>
    </row>
    <row r="103" spans="3:23" ht="18" customHeight="1" x14ac:dyDescent="0.55000000000000004">
      <c r="C103" s="242"/>
      <c r="D103" s="239" t="s">
        <v>19</v>
      </c>
      <c r="E103" s="230">
        <v>2</v>
      </c>
      <c r="F103" s="7">
        <v>2</v>
      </c>
      <c r="G103" s="7">
        <v>2</v>
      </c>
      <c r="H103" s="7">
        <v>2</v>
      </c>
      <c r="I103" s="7">
        <v>2</v>
      </c>
      <c r="J103" s="230">
        <v>2</v>
      </c>
      <c r="K103" s="7">
        <v>2</v>
      </c>
      <c r="L103" s="7">
        <v>2</v>
      </c>
      <c r="M103" s="7">
        <v>2</v>
      </c>
      <c r="N103" s="230"/>
      <c r="O103" s="7"/>
      <c r="P103" s="7"/>
      <c r="Q103" s="7"/>
      <c r="R103" s="230"/>
      <c r="S103" s="7"/>
      <c r="T103" s="7"/>
      <c r="U103" s="7"/>
      <c r="W103" s="28"/>
    </row>
    <row r="104" spans="3:23" ht="18" customHeight="1" x14ac:dyDescent="0.55000000000000004">
      <c r="C104" s="242"/>
      <c r="D104" s="240"/>
      <c r="E104" s="230"/>
      <c r="F104" s="7">
        <f>F103-E103</f>
        <v>0</v>
      </c>
      <c r="G104" s="8">
        <f>G103-E103</f>
        <v>0</v>
      </c>
      <c r="H104" s="8">
        <f>H103-E103</f>
        <v>0</v>
      </c>
      <c r="I104" s="8">
        <f>I103-E103</f>
        <v>0</v>
      </c>
      <c r="J104" s="230"/>
      <c r="K104" s="8">
        <f>K103-E103</f>
        <v>0</v>
      </c>
      <c r="L104" s="8">
        <f>L103-E103</f>
        <v>0</v>
      </c>
      <c r="M104" s="8">
        <f>M103-E103</f>
        <v>0</v>
      </c>
      <c r="N104" s="230"/>
      <c r="O104" s="10"/>
      <c r="P104" s="10"/>
      <c r="Q104" s="10"/>
      <c r="R104" s="230"/>
      <c r="S104" s="10"/>
      <c r="T104" s="10"/>
      <c r="U104" s="10"/>
      <c r="W104" s="28"/>
    </row>
    <row r="105" spans="3:23" ht="18" customHeight="1" x14ac:dyDescent="0.55000000000000004">
      <c r="C105" s="242"/>
      <c r="D105" s="232" t="s">
        <v>17</v>
      </c>
      <c r="E105" s="230">
        <v>120</v>
      </c>
      <c r="F105" s="14">
        <v>120</v>
      </c>
      <c r="G105" s="11">
        <v>120</v>
      </c>
      <c r="H105" s="11">
        <v>120</v>
      </c>
      <c r="I105" s="11">
        <v>120</v>
      </c>
      <c r="J105" s="230">
        <v>120</v>
      </c>
      <c r="K105" s="11">
        <v>120</v>
      </c>
      <c r="L105" s="11">
        <v>120</v>
      </c>
      <c r="M105" s="11">
        <v>120</v>
      </c>
      <c r="N105" s="230"/>
      <c r="O105" s="12"/>
      <c r="P105" s="12"/>
      <c r="Q105" s="12"/>
      <c r="R105" s="230"/>
      <c r="S105" s="12"/>
      <c r="T105" s="12"/>
      <c r="U105" s="12"/>
      <c r="W105" s="28"/>
    </row>
    <row r="106" spans="3:23" ht="18" customHeight="1" x14ac:dyDescent="0.55000000000000004">
      <c r="C106" s="242"/>
      <c r="D106" s="233"/>
      <c r="E106" s="230"/>
      <c r="F106" s="14">
        <f>F105-E105</f>
        <v>0</v>
      </c>
      <c r="G106" s="11">
        <f>G105-E105</f>
        <v>0</v>
      </c>
      <c r="H106" s="11">
        <f>H105-E105</f>
        <v>0</v>
      </c>
      <c r="I106" s="11">
        <f>I105-E105</f>
        <v>0</v>
      </c>
      <c r="J106" s="230"/>
      <c r="K106" s="11">
        <f>K105-E105</f>
        <v>0</v>
      </c>
      <c r="L106" s="11">
        <f>L105-E105</f>
        <v>0</v>
      </c>
      <c r="M106" s="11">
        <f>M105-E105</f>
        <v>0</v>
      </c>
      <c r="N106" s="230"/>
      <c r="O106" s="12"/>
      <c r="P106" s="12"/>
      <c r="Q106" s="12"/>
      <c r="R106" s="230"/>
      <c r="S106" s="12"/>
      <c r="T106" s="12"/>
      <c r="U106" s="12"/>
      <c r="W106" s="28"/>
    </row>
    <row r="107" spans="3:23" ht="32" customHeight="1" x14ac:dyDescent="0.55000000000000004">
      <c r="C107" s="19"/>
      <c r="D107" s="19"/>
      <c r="E107" s="19"/>
      <c r="F107" s="237" t="s">
        <v>91</v>
      </c>
      <c r="G107" s="237"/>
      <c r="H107" s="236" t="s">
        <v>118</v>
      </c>
      <c r="I107" s="237"/>
      <c r="J107" s="236" t="s">
        <v>119</v>
      </c>
      <c r="K107" s="237"/>
      <c r="L107" s="237" t="s">
        <v>92</v>
      </c>
      <c r="M107" s="237"/>
      <c r="N107" s="237" t="s">
        <v>91</v>
      </c>
      <c r="O107" s="237"/>
      <c r="P107" s="237" t="s">
        <v>92</v>
      </c>
      <c r="Q107" s="237"/>
      <c r="R107" s="237" t="s">
        <v>91</v>
      </c>
      <c r="S107" s="237"/>
      <c r="T107" s="237" t="s">
        <v>92</v>
      </c>
      <c r="U107" s="237"/>
      <c r="W107" s="28"/>
    </row>
    <row r="108" spans="3:23" x14ac:dyDescent="0.55000000000000004">
      <c r="C108" s="228" t="s">
        <v>30</v>
      </c>
      <c r="D108" s="228"/>
      <c r="E108" s="229"/>
      <c r="F108" s="5" t="s">
        <v>4</v>
      </c>
      <c r="G108" s="5" t="s">
        <v>5</v>
      </c>
      <c r="H108" s="5" t="s">
        <v>6</v>
      </c>
      <c r="I108" s="5" t="s">
        <v>7</v>
      </c>
      <c r="J108" s="230"/>
      <c r="K108" s="5" t="s">
        <v>8</v>
      </c>
      <c r="L108" s="5" t="s">
        <v>10</v>
      </c>
      <c r="M108" s="5" t="s">
        <v>11</v>
      </c>
      <c r="N108" s="230"/>
      <c r="O108" s="5" t="s">
        <v>12</v>
      </c>
      <c r="P108" s="5" t="s">
        <v>13</v>
      </c>
      <c r="Q108" s="5" t="s">
        <v>14</v>
      </c>
      <c r="R108" s="230"/>
      <c r="S108" s="5" t="s">
        <v>15</v>
      </c>
      <c r="T108" s="5" t="s">
        <v>16</v>
      </c>
      <c r="U108" s="5" t="s">
        <v>4</v>
      </c>
      <c r="V108" s="4"/>
    </row>
    <row r="109" spans="3:23" x14ac:dyDescent="0.55000000000000004">
      <c r="C109" s="228"/>
      <c r="D109" s="228"/>
      <c r="E109" s="229"/>
      <c r="F109" s="7">
        <v>4</v>
      </c>
      <c r="G109" s="7">
        <v>4</v>
      </c>
      <c r="H109" s="7">
        <v>4</v>
      </c>
      <c r="I109" s="7">
        <v>4</v>
      </c>
      <c r="J109" s="230"/>
      <c r="K109" s="7">
        <v>4</v>
      </c>
      <c r="L109" s="7">
        <v>4</v>
      </c>
      <c r="M109" s="7">
        <v>4</v>
      </c>
      <c r="N109" s="230"/>
      <c r="O109" s="7"/>
      <c r="P109" s="7"/>
      <c r="Q109" s="7"/>
      <c r="R109" s="230"/>
      <c r="S109" s="7"/>
      <c r="T109" s="7"/>
      <c r="U109" s="7"/>
    </row>
    <row r="111" spans="3:23" x14ac:dyDescent="0.55000000000000004">
      <c r="C111" s="228" t="s">
        <v>31</v>
      </c>
      <c r="D111" s="228"/>
      <c r="E111" s="229"/>
      <c r="F111" s="5" t="s">
        <v>4</v>
      </c>
      <c r="G111" s="5" t="s">
        <v>5</v>
      </c>
      <c r="H111" s="5" t="s">
        <v>6</v>
      </c>
      <c r="I111" s="5" t="s">
        <v>7</v>
      </c>
      <c r="J111" s="230"/>
      <c r="K111" s="5" t="s">
        <v>8</v>
      </c>
      <c r="L111" s="5" t="s">
        <v>10</v>
      </c>
      <c r="M111" s="5" t="s">
        <v>11</v>
      </c>
      <c r="N111" s="230"/>
      <c r="O111" s="5" t="s">
        <v>12</v>
      </c>
      <c r="P111" s="5" t="s">
        <v>13</v>
      </c>
      <c r="Q111" s="5" t="s">
        <v>14</v>
      </c>
      <c r="R111" s="230"/>
      <c r="S111" s="5" t="s">
        <v>15</v>
      </c>
      <c r="T111" s="5" t="s">
        <v>16</v>
      </c>
      <c r="U111" s="5" t="s">
        <v>4</v>
      </c>
    </row>
    <row r="112" spans="3:23" x14ac:dyDescent="0.55000000000000004">
      <c r="C112" s="228"/>
      <c r="D112" s="228"/>
      <c r="E112" s="229"/>
      <c r="F112" s="7">
        <f>SUM(F3,F20,F31,F37,F43,F49,F55,F73,F83,F89,F99,F109)</f>
        <v>95</v>
      </c>
      <c r="G112" s="7">
        <f>SUM(G3,G20,G31,G37,G43,G49,G55,G73,G83,G89,G99,G109)</f>
        <v>98</v>
      </c>
      <c r="H112" s="7">
        <f>SUM(H3,G20,H31,H37,H43,H49,H55,H73,H83,H89,H99,H109)</f>
        <v>99</v>
      </c>
      <c r="I112" s="7">
        <f>SUM(I3,I20,I31,I37,I43,I49,I55,I73,I83,I89,I99,I109)</f>
        <v>102</v>
      </c>
      <c r="J112" s="230"/>
      <c r="K112" s="7">
        <f>SUM(K3,K20,K31,K37,K43,K49,K55,K73,K83,K89,K99,K109)</f>
        <v>110</v>
      </c>
      <c r="L112" s="7">
        <f>SUM(L3,L20,L31,L37,L43,L49,L55,L73,L83,L89,L99,L109)</f>
        <v>111</v>
      </c>
      <c r="M112" s="7">
        <f>SUM(M3,M20,M31,M37,M43,M49,M55,M73,M83,M89,M99,M109)</f>
        <v>110</v>
      </c>
      <c r="N112" s="230"/>
      <c r="O112" s="7">
        <f>SUM(O3,O20,O31,O37,O43,O49,O73,O83,O89,O99,O109)</f>
        <v>42</v>
      </c>
      <c r="P112" s="7">
        <f>SUM(P3,P20,P31,P37,P43,P49,P73,P83,P89,P99,P109)</f>
        <v>41</v>
      </c>
      <c r="Q112" s="7">
        <f>SUM(Q3,Q20,Q31,Q37,Q43,Q49,Q73,Q83,Q89,Q99,Q109)</f>
        <v>41</v>
      </c>
      <c r="R112" s="230"/>
      <c r="S112" s="7">
        <f>SUM(S3,S20,S31,S37,S43,S49,S73,S83,S89,S99,S109)</f>
        <v>41</v>
      </c>
      <c r="T112" s="7">
        <f>SUM(T3,T20,T31,T37,T43,T49,T73,T83,T89,T99,T109)</f>
        <v>41</v>
      </c>
      <c r="U112" s="7">
        <f>SUM(U3,U20,U31,U37,U43,U49,U73,U83,U89,U99,U109)</f>
        <v>41</v>
      </c>
    </row>
  </sheetData>
  <mergeCells count="290">
    <mergeCell ref="F107:G107"/>
    <mergeCell ref="H107:I107"/>
    <mergeCell ref="J107:K107"/>
    <mergeCell ref="L107:M107"/>
    <mergeCell ref="N107:O107"/>
    <mergeCell ref="P107:Q107"/>
    <mergeCell ref="R107:S107"/>
    <mergeCell ref="T107:U107"/>
    <mergeCell ref="C54:D54"/>
    <mergeCell ref="C55:C58"/>
    <mergeCell ref="D55:D56"/>
    <mergeCell ref="E55:E56"/>
    <mergeCell ref="J55:J56"/>
    <mergeCell ref="N55:N56"/>
    <mergeCell ref="R55:R56"/>
    <mergeCell ref="D57:D58"/>
    <mergeCell ref="E57:E58"/>
    <mergeCell ref="J57:J58"/>
    <mergeCell ref="N57:N58"/>
    <mergeCell ref="R57:R58"/>
    <mergeCell ref="F59:G59"/>
    <mergeCell ref="H59:I59"/>
    <mergeCell ref="J59:K59"/>
    <mergeCell ref="L59:M59"/>
    <mergeCell ref="C99:C106"/>
    <mergeCell ref="D99:D100"/>
    <mergeCell ref="E99:E100"/>
    <mergeCell ref="J99:J100"/>
    <mergeCell ref="N99:N100"/>
    <mergeCell ref="R99:R100"/>
    <mergeCell ref="D101:D102"/>
    <mergeCell ref="E101:E102"/>
    <mergeCell ref="J101:J102"/>
    <mergeCell ref="N101:N102"/>
    <mergeCell ref="R101:R102"/>
    <mergeCell ref="D103:D104"/>
    <mergeCell ref="E103:E104"/>
    <mergeCell ref="J103:J104"/>
    <mergeCell ref="N103:N104"/>
    <mergeCell ref="R103:R104"/>
    <mergeCell ref="D105:D106"/>
    <mergeCell ref="E105:E106"/>
    <mergeCell ref="J105:J106"/>
    <mergeCell ref="N105:N106"/>
    <mergeCell ref="R105:R106"/>
    <mergeCell ref="F97:G97"/>
    <mergeCell ref="H97:I97"/>
    <mergeCell ref="J97:K97"/>
    <mergeCell ref="L97:M97"/>
    <mergeCell ref="N97:O97"/>
    <mergeCell ref="P97:Q97"/>
    <mergeCell ref="R97:S97"/>
    <mergeCell ref="T97:U97"/>
    <mergeCell ref="C98:D98"/>
    <mergeCell ref="T81:U81"/>
    <mergeCell ref="R87:S87"/>
    <mergeCell ref="T87:U87"/>
    <mergeCell ref="N87:O87"/>
    <mergeCell ref="P87:Q87"/>
    <mergeCell ref="J87:K87"/>
    <mergeCell ref="L87:M87"/>
    <mergeCell ref="F87:G87"/>
    <mergeCell ref="H87:I87"/>
    <mergeCell ref="N83:N84"/>
    <mergeCell ref="F71:G71"/>
    <mergeCell ref="H71:I71"/>
    <mergeCell ref="F81:G81"/>
    <mergeCell ref="H81:I81"/>
    <mergeCell ref="J81:K81"/>
    <mergeCell ref="L81:M81"/>
    <mergeCell ref="N81:O81"/>
    <mergeCell ref="P81:Q81"/>
    <mergeCell ref="R81:S81"/>
    <mergeCell ref="T47:U47"/>
    <mergeCell ref="R71:S71"/>
    <mergeCell ref="T71:U71"/>
    <mergeCell ref="N71:O71"/>
    <mergeCell ref="P71:Q71"/>
    <mergeCell ref="J71:K71"/>
    <mergeCell ref="L71:M71"/>
    <mergeCell ref="N59:O59"/>
    <mergeCell ref="P59:Q59"/>
    <mergeCell ref="R59:S59"/>
    <mergeCell ref="T59:U59"/>
    <mergeCell ref="T35:U35"/>
    <mergeCell ref="J35:K35"/>
    <mergeCell ref="L35:M35"/>
    <mergeCell ref="F53:G53"/>
    <mergeCell ref="H53:I53"/>
    <mergeCell ref="J53:K53"/>
    <mergeCell ref="L53:M53"/>
    <mergeCell ref="N53:O53"/>
    <mergeCell ref="P53:Q53"/>
    <mergeCell ref="R53:S53"/>
    <mergeCell ref="T53:U53"/>
    <mergeCell ref="F41:G41"/>
    <mergeCell ref="H41:I41"/>
    <mergeCell ref="J41:K41"/>
    <mergeCell ref="L41:M41"/>
    <mergeCell ref="N41:O41"/>
    <mergeCell ref="P41:Q41"/>
    <mergeCell ref="R41:S41"/>
    <mergeCell ref="T41:U41"/>
    <mergeCell ref="J47:K47"/>
    <mergeCell ref="L47:M47"/>
    <mergeCell ref="N47:O47"/>
    <mergeCell ref="P47:Q47"/>
    <mergeCell ref="R47:S47"/>
    <mergeCell ref="H11:I11"/>
    <mergeCell ref="F11:G11"/>
    <mergeCell ref="L11:M11"/>
    <mergeCell ref="J11:K11"/>
    <mergeCell ref="N11:O11"/>
    <mergeCell ref="P11:Q11"/>
    <mergeCell ref="R11:S11"/>
    <mergeCell ref="T11:U11"/>
    <mergeCell ref="F29:G29"/>
    <mergeCell ref="H29:I29"/>
    <mergeCell ref="J29:K29"/>
    <mergeCell ref="L29:M29"/>
    <mergeCell ref="N29:O29"/>
    <mergeCell ref="P29:Q29"/>
    <mergeCell ref="R29:S29"/>
    <mergeCell ref="T29:U29"/>
    <mergeCell ref="R91:R92"/>
    <mergeCell ref="C73:C80"/>
    <mergeCell ref="D77:D78"/>
    <mergeCell ref="E77:E78"/>
    <mergeCell ref="J77:J78"/>
    <mergeCell ref="N77:N78"/>
    <mergeCell ref="R77:R78"/>
    <mergeCell ref="D79:D80"/>
    <mergeCell ref="E79:E80"/>
    <mergeCell ref="J79:J80"/>
    <mergeCell ref="N79:N80"/>
    <mergeCell ref="R79:R80"/>
    <mergeCell ref="R75:R76"/>
    <mergeCell ref="D73:D74"/>
    <mergeCell ref="E73:E74"/>
    <mergeCell ref="J73:J74"/>
    <mergeCell ref="N73:N74"/>
    <mergeCell ref="C60:D60"/>
    <mergeCell ref="C88:D88"/>
    <mergeCell ref="D89:D90"/>
    <mergeCell ref="E89:E90"/>
    <mergeCell ref="J89:J90"/>
    <mergeCell ref="R83:R84"/>
    <mergeCell ref="D85:D86"/>
    <mergeCell ref="E85:E86"/>
    <mergeCell ref="J85:J86"/>
    <mergeCell ref="N85:N86"/>
    <mergeCell ref="R85:R86"/>
    <mergeCell ref="C83:C86"/>
    <mergeCell ref="D83:D84"/>
    <mergeCell ref="E83:E84"/>
    <mergeCell ref="J83:J84"/>
    <mergeCell ref="C61:C70"/>
    <mergeCell ref="C89:C96"/>
    <mergeCell ref="D93:D94"/>
    <mergeCell ref="E93:E94"/>
    <mergeCell ref="J93:J94"/>
    <mergeCell ref="N93:N94"/>
    <mergeCell ref="R93:R94"/>
    <mergeCell ref="D95:D96"/>
    <mergeCell ref="E95:E96"/>
    <mergeCell ref="C2:D2"/>
    <mergeCell ref="D3:D4"/>
    <mergeCell ref="D7:D8"/>
    <mergeCell ref="D31:D32"/>
    <mergeCell ref="C3:C10"/>
    <mergeCell ref="C11:E11"/>
    <mergeCell ref="C30:D30"/>
    <mergeCell ref="C31:C34"/>
    <mergeCell ref="E3:E4"/>
    <mergeCell ref="E7:E8"/>
    <mergeCell ref="E31:E32"/>
    <mergeCell ref="D5:D6"/>
    <mergeCell ref="E5:E6"/>
    <mergeCell ref="D9:D10"/>
    <mergeCell ref="E9:E10"/>
    <mergeCell ref="C20:D20"/>
    <mergeCell ref="C21:C28"/>
    <mergeCell ref="D21:D22"/>
    <mergeCell ref="E21:E22"/>
    <mergeCell ref="D23:D24"/>
    <mergeCell ref="E23:E24"/>
    <mergeCell ref="D25:D26"/>
    <mergeCell ref="E25:E26"/>
    <mergeCell ref="D27:D28"/>
    <mergeCell ref="C36:D36"/>
    <mergeCell ref="N33:N34"/>
    <mergeCell ref="D33:D34"/>
    <mergeCell ref="E33:E34"/>
    <mergeCell ref="J21:J22"/>
    <mergeCell ref="N21:N22"/>
    <mergeCell ref="R21:R22"/>
    <mergeCell ref="J23:J24"/>
    <mergeCell ref="N23:N24"/>
    <mergeCell ref="R23:R24"/>
    <mergeCell ref="J25:J26"/>
    <mergeCell ref="N25:N26"/>
    <mergeCell ref="R25:R26"/>
    <mergeCell ref="E27:E28"/>
    <mergeCell ref="J27:J28"/>
    <mergeCell ref="N27:N28"/>
    <mergeCell ref="R27:R28"/>
    <mergeCell ref="C29:E29"/>
    <mergeCell ref="F35:G35"/>
    <mergeCell ref="H35:I35"/>
    <mergeCell ref="N35:O35"/>
    <mergeCell ref="P35:Q35"/>
    <mergeCell ref="R35:S35"/>
    <mergeCell ref="E39:E40"/>
    <mergeCell ref="C42:D42"/>
    <mergeCell ref="C43:C46"/>
    <mergeCell ref="D43:D44"/>
    <mergeCell ref="E43:E44"/>
    <mergeCell ref="D45:D46"/>
    <mergeCell ref="E45:E46"/>
    <mergeCell ref="J45:J46"/>
    <mergeCell ref="C37:C40"/>
    <mergeCell ref="D37:D38"/>
    <mergeCell ref="E37:E38"/>
    <mergeCell ref="D39:D40"/>
    <mergeCell ref="J37:J38"/>
    <mergeCell ref="J39:J40"/>
    <mergeCell ref="J43:J44"/>
    <mergeCell ref="N5:N6"/>
    <mergeCell ref="N7:N8"/>
    <mergeCell ref="N9:N10"/>
    <mergeCell ref="N31:N32"/>
    <mergeCell ref="N37:N38"/>
    <mergeCell ref="N39:N40"/>
    <mergeCell ref="N43:N44"/>
    <mergeCell ref="R3:R4"/>
    <mergeCell ref="R5:R6"/>
    <mergeCell ref="R7:R8"/>
    <mergeCell ref="R9:R10"/>
    <mergeCell ref="R31:R32"/>
    <mergeCell ref="R33:R34"/>
    <mergeCell ref="R37:R38"/>
    <mergeCell ref="R39:R40"/>
    <mergeCell ref="J3:J4"/>
    <mergeCell ref="J5:J6"/>
    <mergeCell ref="J7:J8"/>
    <mergeCell ref="J9:J10"/>
    <mergeCell ref="J31:J32"/>
    <mergeCell ref="J33:J34"/>
    <mergeCell ref="R45:R46"/>
    <mergeCell ref="C48:D48"/>
    <mergeCell ref="C49:C52"/>
    <mergeCell ref="D49:D50"/>
    <mergeCell ref="E49:E50"/>
    <mergeCell ref="J49:J50"/>
    <mergeCell ref="N49:N50"/>
    <mergeCell ref="R49:R50"/>
    <mergeCell ref="D51:D52"/>
    <mergeCell ref="E51:E52"/>
    <mergeCell ref="N45:N46"/>
    <mergeCell ref="J51:J52"/>
    <mergeCell ref="N51:N52"/>
    <mergeCell ref="R51:R52"/>
    <mergeCell ref="F47:G47"/>
    <mergeCell ref="H47:I47"/>
    <mergeCell ref="R43:R44"/>
    <mergeCell ref="N3:N4"/>
    <mergeCell ref="C108:E109"/>
    <mergeCell ref="C111:E112"/>
    <mergeCell ref="J111:J112"/>
    <mergeCell ref="N111:N112"/>
    <mergeCell ref="R111:R112"/>
    <mergeCell ref="J108:J109"/>
    <mergeCell ref="N108:N109"/>
    <mergeCell ref="R108:R109"/>
    <mergeCell ref="C72:D72"/>
    <mergeCell ref="C82:D82"/>
    <mergeCell ref="R73:R74"/>
    <mergeCell ref="D75:D76"/>
    <mergeCell ref="E75:E76"/>
    <mergeCell ref="J75:J76"/>
    <mergeCell ref="N75:N76"/>
    <mergeCell ref="J95:J96"/>
    <mergeCell ref="N95:N96"/>
    <mergeCell ref="R95:R96"/>
    <mergeCell ref="N89:N90"/>
    <mergeCell ref="R89:R90"/>
    <mergeCell ref="D91:D92"/>
    <mergeCell ref="E91:E92"/>
    <mergeCell ref="J91:J92"/>
    <mergeCell ref="N91:N92"/>
  </mergeCells>
  <phoneticPr fontId="2"/>
  <pageMargins left="0.23622047244094491" right="0.23622047244094491" top="0.62992125984251968" bottom="1.0629921259842521" header="0.31496062992125984" footer="0.31496062992125984"/>
  <pageSetup paperSize="8"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D4AC8-2A00-4414-9B4F-C876F898270A}">
  <dimension ref="A2:D13"/>
  <sheetViews>
    <sheetView workbookViewId="0">
      <selection activeCell="D5" sqref="D5"/>
    </sheetView>
  </sheetViews>
  <sheetFormatPr defaultRowHeight="18" x14ac:dyDescent="0.55000000000000004"/>
  <sheetData>
    <row r="2" spans="1:4" x14ac:dyDescent="0.55000000000000004">
      <c r="A2" t="s">
        <v>1</v>
      </c>
      <c r="B2" t="s">
        <v>123</v>
      </c>
      <c r="D2" t="s">
        <v>131</v>
      </c>
    </row>
    <row r="3" spans="1:4" x14ac:dyDescent="0.55000000000000004">
      <c r="B3" t="s">
        <v>124</v>
      </c>
      <c r="D3" t="s">
        <v>132</v>
      </c>
    </row>
    <row r="4" spans="1:4" x14ac:dyDescent="0.55000000000000004">
      <c r="B4" t="s">
        <v>125</v>
      </c>
      <c r="D4" t="s">
        <v>133</v>
      </c>
    </row>
    <row r="5" spans="1:4" x14ac:dyDescent="0.55000000000000004">
      <c r="D5" t="s">
        <v>134</v>
      </c>
    </row>
    <row r="6" spans="1:4" x14ac:dyDescent="0.55000000000000004">
      <c r="A6" t="s">
        <v>90</v>
      </c>
      <c r="B6" t="s">
        <v>126</v>
      </c>
    </row>
    <row r="8" spans="1:4" x14ac:dyDescent="0.55000000000000004">
      <c r="A8" t="s">
        <v>2</v>
      </c>
      <c r="B8" t="s">
        <v>127</v>
      </c>
    </row>
    <row r="9" spans="1:4" x14ac:dyDescent="0.55000000000000004">
      <c r="B9" t="s">
        <v>128</v>
      </c>
    </row>
    <row r="10" spans="1:4" x14ac:dyDescent="0.55000000000000004">
      <c r="B10" t="s">
        <v>129</v>
      </c>
    </row>
    <row r="11" spans="1:4" x14ac:dyDescent="0.55000000000000004">
      <c r="B11" t="s">
        <v>130</v>
      </c>
    </row>
    <row r="13" spans="1:4" x14ac:dyDescent="0.55000000000000004">
      <c r="A13" t="s">
        <v>22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57FC-9603-49D8-93CB-A712196C1279}">
  <dimension ref="A1:D44"/>
  <sheetViews>
    <sheetView workbookViewId="0">
      <selection activeCell="D3" sqref="D3:D19"/>
    </sheetView>
  </sheetViews>
  <sheetFormatPr defaultRowHeight="18" x14ac:dyDescent="0.55000000000000004"/>
  <cols>
    <col min="2" max="2" width="18.1640625" customWidth="1"/>
    <col min="3" max="4" width="8.6640625" customWidth="1"/>
  </cols>
  <sheetData>
    <row r="1" spans="1:4" x14ac:dyDescent="0.55000000000000004">
      <c r="A1" t="s">
        <v>55</v>
      </c>
      <c r="B1" t="s">
        <v>56</v>
      </c>
      <c r="C1" t="s">
        <v>57</v>
      </c>
      <c r="D1" t="s">
        <v>58</v>
      </c>
    </row>
    <row r="2" spans="1:4" x14ac:dyDescent="0.55000000000000004">
      <c r="A2" t="s">
        <v>59</v>
      </c>
    </row>
    <row r="3" spans="1:4" x14ac:dyDescent="0.55000000000000004">
      <c r="A3" t="s">
        <v>32</v>
      </c>
      <c r="B3" s="23">
        <v>40787</v>
      </c>
      <c r="C3" t="s">
        <v>33</v>
      </c>
      <c r="D3" t="s">
        <v>60</v>
      </c>
    </row>
    <row r="4" spans="1:4" ht="22.5" customHeight="1" x14ac:dyDescent="0.55000000000000004">
      <c r="A4" t="s">
        <v>61</v>
      </c>
      <c r="B4" s="23">
        <v>43831</v>
      </c>
      <c r="C4" t="s">
        <v>34</v>
      </c>
      <c r="D4" t="s">
        <v>60</v>
      </c>
    </row>
    <row r="5" spans="1:4" x14ac:dyDescent="0.55000000000000004">
      <c r="A5" t="s">
        <v>62</v>
      </c>
      <c r="B5" s="23">
        <v>42339</v>
      </c>
      <c r="C5" t="s">
        <v>35</v>
      </c>
      <c r="D5" t="s">
        <v>60</v>
      </c>
    </row>
    <row r="6" spans="1:4" x14ac:dyDescent="0.55000000000000004">
      <c r="A6" t="s">
        <v>63</v>
      </c>
      <c r="B6" s="23">
        <v>44287</v>
      </c>
      <c r="C6" t="s">
        <v>36</v>
      </c>
      <c r="D6" t="s">
        <v>60</v>
      </c>
    </row>
    <row r="7" spans="1:4" x14ac:dyDescent="0.55000000000000004">
      <c r="A7" t="s">
        <v>64</v>
      </c>
      <c r="B7" s="23">
        <v>45413</v>
      </c>
      <c r="C7" t="s">
        <v>37</v>
      </c>
      <c r="D7" t="s">
        <v>60</v>
      </c>
    </row>
    <row r="8" spans="1:4" x14ac:dyDescent="0.55000000000000004">
      <c r="A8" t="s">
        <v>65</v>
      </c>
      <c r="B8" s="23">
        <v>45748</v>
      </c>
      <c r="C8" t="s">
        <v>38</v>
      </c>
      <c r="D8" t="s">
        <v>60</v>
      </c>
    </row>
    <row r="9" spans="1:4" x14ac:dyDescent="0.55000000000000004">
      <c r="A9" t="s">
        <v>66</v>
      </c>
      <c r="B9" s="23">
        <v>42095</v>
      </c>
      <c r="C9" t="s">
        <v>39</v>
      </c>
      <c r="D9" t="s">
        <v>60</v>
      </c>
    </row>
    <row r="10" spans="1:4" x14ac:dyDescent="0.55000000000000004">
      <c r="A10" t="s">
        <v>40</v>
      </c>
      <c r="B10" s="23">
        <v>45261</v>
      </c>
      <c r="C10" t="s">
        <v>41</v>
      </c>
      <c r="D10" t="s">
        <v>60</v>
      </c>
    </row>
    <row r="11" spans="1:4" x14ac:dyDescent="0.55000000000000004">
      <c r="A11" t="s">
        <v>67</v>
      </c>
      <c r="B11" s="23">
        <v>42856</v>
      </c>
      <c r="C11" t="s">
        <v>42</v>
      </c>
      <c r="D11" t="s">
        <v>68</v>
      </c>
    </row>
    <row r="12" spans="1:4" x14ac:dyDescent="0.55000000000000004">
      <c r="A12" t="s">
        <v>69</v>
      </c>
      <c r="B12" s="23">
        <v>43647</v>
      </c>
      <c r="C12" t="s">
        <v>43</v>
      </c>
      <c r="D12" t="s">
        <v>60</v>
      </c>
    </row>
    <row r="13" spans="1:4" x14ac:dyDescent="0.55000000000000004">
      <c r="A13" t="s">
        <v>44</v>
      </c>
      <c r="B13" s="23">
        <v>45748</v>
      </c>
      <c r="C13" t="s">
        <v>38</v>
      </c>
      <c r="D13" t="s">
        <v>60</v>
      </c>
    </row>
    <row r="14" spans="1:4" x14ac:dyDescent="0.55000000000000004">
      <c r="A14" t="s">
        <v>45</v>
      </c>
      <c r="B14" s="23">
        <v>41214</v>
      </c>
      <c r="C14" t="s">
        <v>46</v>
      </c>
      <c r="D14" t="s">
        <v>60</v>
      </c>
    </row>
    <row r="15" spans="1:4" x14ac:dyDescent="0.55000000000000004">
      <c r="A15" t="s">
        <v>70</v>
      </c>
      <c r="B15" s="23">
        <v>44105</v>
      </c>
      <c r="C15" t="s">
        <v>47</v>
      </c>
      <c r="D15" t="s">
        <v>60</v>
      </c>
    </row>
    <row r="16" spans="1:4" x14ac:dyDescent="0.55000000000000004">
      <c r="A16" t="s">
        <v>71</v>
      </c>
      <c r="B16" s="23">
        <v>43556</v>
      </c>
      <c r="C16" t="s">
        <v>48</v>
      </c>
      <c r="D16" t="s">
        <v>60</v>
      </c>
    </row>
    <row r="17" spans="1:4" x14ac:dyDescent="0.55000000000000004">
      <c r="A17" t="s">
        <v>72</v>
      </c>
      <c r="B17" s="23">
        <v>45627</v>
      </c>
      <c r="C17" t="s">
        <v>49</v>
      </c>
      <c r="D17" t="s">
        <v>60</v>
      </c>
    </row>
    <row r="18" spans="1:4" x14ac:dyDescent="0.55000000000000004">
      <c r="A18" t="s">
        <v>73</v>
      </c>
      <c r="B18" s="23">
        <v>45839</v>
      </c>
      <c r="C18" t="s">
        <v>50</v>
      </c>
      <c r="D18" t="s">
        <v>60</v>
      </c>
    </row>
    <row r="19" spans="1:4" x14ac:dyDescent="0.55000000000000004">
      <c r="A19" t="s">
        <v>74</v>
      </c>
      <c r="B19" s="23">
        <v>43191</v>
      </c>
      <c r="C19" t="s">
        <v>51</v>
      </c>
      <c r="D19" t="s">
        <v>60</v>
      </c>
    </row>
    <row r="23" spans="1:4" x14ac:dyDescent="0.55000000000000004">
      <c r="A23" t="s">
        <v>75</v>
      </c>
    </row>
    <row r="24" spans="1:4" x14ac:dyDescent="0.55000000000000004">
      <c r="A24" t="s">
        <v>76</v>
      </c>
      <c r="B24" s="23">
        <v>42705</v>
      </c>
      <c r="C24" t="s">
        <v>52</v>
      </c>
      <c r="D24" t="s">
        <v>60</v>
      </c>
    </row>
    <row r="27" spans="1:4" x14ac:dyDescent="0.55000000000000004">
      <c r="A27" t="s">
        <v>77</v>
      </c>
      <c r="B27" s="23">
        <v>45931</v>
      </c>
      <c r="C27" t="s">
        <v>53</v>
      </c>
      <c r="D27" t="s">
        <v>60</v>
      </c>
    </row>
    <row r="30" spans="1:4" x14ac:dyDescent="0.55000000000000004">
      <c r="A30" t="s">
        <v>78</v>
      </c>
      <c r="B30" s="23">
        <v>46023</v>
      </c>
      <c r="C30" t="s">
        <v>54</v>
      </c>
      <c r="D30" t="s">
        <v>60</v>
      </c>
    </row>
    <row r="33" spans="1:4" x14ac:dyDescent="0.55000000000000004">
      <c r="A33" t="s">
        <v>79</v>
      </c>
      <c r="B33" s="23">
        <v>46023</v>
      </c>
      <c r="C33" t="s">
        <v>54</v>
      </c>
      <c r="D33" t="s">
        <v>60</v>
      </c>
    </row>
    <row r="36" spans="1:4" x14ac:dyDescent="0.55000000000000004">
      <c r="A36" t="s">
        <v>80</v>
      </c>
      <c r="B36" s="23">
        <v>46023</v>
      </c>
      <c r="C36" t="s">
        <v>54</v>
      </c>
      <c r="D36" t="s">
        <v>60</v>
      </c>
    </row>
    <row r="39" spans="1:4" x14ac:dyDescent="0.55000000000000004">
      <c r="A39" t="s">
        <v>81</v>
      </c>
      <c r="B39" s="23">
        <v>46054</v>
      </c>
      <c r="C39" t="e">
        <v>#NUM!</v>
      </c>
      <c r="D39" t="s">
        <v>60</v>
      </c>
    </row>
    <row r="44" spans="1:4" x14ac:dyDescent="0.55000000000000004">
      <c r="D44" t="s">
        <v>82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1C5C-56DA-4D0B-82D3-A2A8688C26D9}">
  <sheetPr>
    <pageSetUpPr fitToPage="1"/>
  </sheetPr>
  <dimension ref="C1:S14"/>
  <sheetViews>
    <sheetView zoomScale="80" zoomScaleNormal="80" workbookViewId="0">
      <selection activeCell="C1" sqref="C1:R7"/>
    </sheetView>
  </sheetViews>
  <sheetFormatPr defaultRowHeight="18" x14ac:dyDescent="0.55000000000000004"/>
  <cols>
    <col min="3" max="4" width="9.58203125" customWidth="1"/>
    <col min="5" max="6" width="9.58203125" style="1" customWidth="1"/>
    <col min="7" max="7" width="9.75" style="1" customWidth="1"/>
    <col min="8" max="17" width="9.58203125" style="1" customWidth="1"/>
    <col min="18" max="18" width="37.08203125" customWidth="1"/>
    <col min="23" max="23" width="13.6640625" customWidth="1"/>
  </cols>
  <sheetData>
    <row r="1" spans="3:19" x14ac:dyDescent="0.55000000000000004">
      <c r="C1" s="231" t="s">
        <v>0</v>
      </c>
      <c r="D1" s="231"/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4</v>
      </c>
      <c r="R1" s="4" t="s">
        <v>24</v>
      </c>
    </row>
    <row r="2" spans="3:19" x14ac:dyDescent="0.55000000000000004">
      <c r="C2" s="241" t="s">
        <v>25</v>
      </c>
      <c r="D2" s="40" t="s">
        <v>153</v>
      </c>
      <c r="E2" s="7">
        <v>16</v>
      </c>
      <c r="F2" s="7">
        <v>16</v>
      </c>
      <c r="G2" s="7">
        <v>16</v>
      </c>
      <c r="H2" s="7">
        <v>17</v>
      </c>
      <c r="I2" s="7">
        <v>15</v>
      </c>
      <c r="J2" s="7">
        <v>15</v>
      </c>
      <c r="K2" s="7">
        <v>16</v>
      </c>
      <c r="L2" s="7">
        <v>17</v>
      </c>
      <c r="M2" s="7">
        <v>17</v>
      </c>
      <c r="N2" s="7">
        <v>17</v>
      </c>
      <c r="O2" s="7">
        <v>19</v>
      </c>
      <c r="P2" s="7">
        <v>19</v>
      </c>
      <c r="Q2" s="7">
        <v>20</v>
      </c>
      <c r="R2" s="30" t="s">
        <v>142</v>
      </c>
    </row>
    <row r="3" spans="3:19" x14ac:dyDescent="0.55000000000000004">
      <c r="C3" s="242"/>
      <c r="D3" s="40" t="s">
        <v>154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30"/>
    </row>
    <row r="4" spans="3:19" x14ac:dyDescent="0.55000000000000004">
      <c r="C4" s="242"/>
      <c r="D4" s="40" t="s">
        <v>155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30"/>
    </row>
    <row r="5" spans="3:19" x14ac:dyDescent="0.55000000000000004">
      <c r="C5" s="248"/>
      <c r="D5" s="40" t="s">
        <v>156</v>
      </c>
      <c r="E5" s="15" t="e">
        <f>E2-#REF!</f>
        <v>#REF!</v>
      </c>
      <c r="F5" s="15" t="e">
        <f>F2-#REF!</f>
        <v>#REF!</v>
      </c>
      <c r="G5" s="15" t="e">
        <f>G2-#REF!</f>
        <v>#REF!</v>
      </c>
      <c r="H5" s="15" t="e">
        <f>H2-#REF!</f>
        <v>#REF!</v>
      </c>
      <c r="I5" s="15" t="e">
        <f>I2-#REF!</f>
        <v>#REF!</v>
      </c>
      <c r="J5" s="15" t="e">
        <f>J2-#REF!</f>
        <v>#REF!</v>
      </c>
      <c r="K5" s="15" t="e">
        <f>K2-#REF!</f>
        <v>#REF!</v>
      </c>
      <c r="L5" s="9" t="e">
        <f>L2-#REF!</f>
        <v>#REF!</v>
      </c>
      <c r="M5" s="9" t="e">
        <f>M2-#REF!</f>
        <v>#REF!</v>
      </c>
      <c r="N5" s="9" t="e">
        <f>N2-#REF!</f>
        <v>#REF!</v>
      </c>
      <c r="O5" s="8" t="e">
        <f>O2-#REF!</f>
        <v>#REF!</v>
      </c>
      <c r="P5" s="8" t="e">
        <f>O2-#REF!</f>
        <v>#REF!</v>
      </c>
      <c r="Q5" s="8" t="e">
        <f>Q2-#REF!</f>
        <v>#REF!</v>
      </c>
      <c r="R5" s="31" t="s">
        <v>143</v>
      </c>
    </row>
    <row r="6" spans="3:19" x14ac:dyDescent="0.55000000000000004">
      <c r="C6" s="234" t="s">
        <v>17</v>
      </c>
      <c r="D6" s="230">
        <v>3130</v>
      </c>
      <c r="E6" s="14">
        <v>3130</v>
      </c>
      <c r="F6" s="11">
        <v>3130</v>
      </c>
      <c r="G6" s="11">
        <v>3130</v>
      </c>
      <c r="H6" s="11">
        <v>3295</v>
      </c>
      <c r="I6" s="11">
        <v>2895</v>
      </c>
      <c r="J6" s="11">
        <v>2895</v>
      </c>
      <c r="K6" s="11">
        <v>3095</v>
      </c>
      <c r="L6" s="11">
        <v>3295</v>
      </c>
      <c r="M6" s="11">
        <v>3295</v>
      </c>
      <c r="N6" s="11">
        <v>3295</v>
      </c>
      <c r="O6" s="11">
        <v>3660</v>
      </c>
      <c r="P6" s="11">
        <v>3660</v>
      </c>
      <c r="Q6" s="11">
        <v>3860</v>
      </c>
      <c r="R6" s="1"/>
    </row>
    <row r="7" spans="3:19" x14ac:dyDescent="0.55000000000000004">
      <c r="C7" s="235"/>
      <c r="D7" s="230"/>
      <c r="E7" s="14" t="e">
        <f>E6-#REF!</f>
        <v>#REF!</v>
      </c>
      <c r="F7" s="18" t="e">
        <f>F6-#REF!</f>
        <v>#REF!</v>
      </c>
      <c r="G7" s="18" t="e">
        <f>G6-#REF!</f>
        <v>#REF!</v>
      </c>
      <c r="H7" s="18" t="e">
        <f>H6-#REF!</f>
        <v>#REF!</v>
      </c>
      <c r="I7" s="18" t="e">
        <f>I6-#REF!</f>
        <v>#REF!</v>
      </c>
      <c r="J7" s="18" t="e">
        <f>J6-#REF!</f>
        <v>#REF!</v>
      </c>
      <c r="K7" s="18" t="e">
        <f>K6-#REF!</f>
        <v>#REF!</v>
      </c>
      <c r="L7" s="11" t="e">
        <f>L6-#REF!</f>
        <v>#REF!</v>
      </c>
      <c r="M7" s="11" t="e">
        <f>L6-#REF!</f>
        <v>#REF!</v>
      </c>
      <c r="N7" s="11" t="e">
        <f>N6-#REF!</f>
        <v>#REF!</v>
      </c>
      <c r="O7" s="11" t="e">
        <f>O6-#REF!</f>
        <v>#REF!</v>
      </c>
      <c r="P7" s="11" t="e">
        <f>P6-#REF!</f>
        <v>#REF!</v>
      </c>
      <c r="Q7" s="11" t="e">
        <f>Q6-#REF!</f>
        <v>#REF!</v>
      </c>
      <c r="R7" s="1"/>
    </row>
    <row r="8" spans="3:19" ht="87.5" customHeight="1" x14ac:dyDescent="0.55000000000000004">
      <c r="C8" s="19"/>
      <c r="D8" s="19"/>
      <c r="E8" s="236" t="s">
        <v>103</v>
      </c>
      <c r="F8" s="237"/>
      <c r="G8" s="236" t="s">
        <v>104</v>
      </c>
      <c r="H8" s="237"/>
      <c r="I8" s="41" t="s">
        <v>157</v>
      </c>
      <c r="J8" s="237" t="s">
        <v>92</v>
      </c>
      <c r="K8" s="237"/>
      <c r="L8" s="41" t="s">
        <v>107</v>
      </c>
      <c r="M8" s="237" t="s">
        <v>92</v>
      </c>
      <c r="N8" s="237"/>
      <c r="O8" s="41" t="s">
        <v>159</v>
      </c>
      <c r="P8" s="237" t="s">
        <v>92</v>
      </c>
      <c r="Q8" s="237"/>
      <c r="R8" s="28"/>
      <c r="S8" s="28"/>
    </row>
    <row r="9" spans="3:19" x14ac:dyDescent="0.55000000000000004">
      <c r="C9" s="231" t="s">
        <v>0</v>
      </c>
      <c r="D9" s="231"/>
      <c r="E9" s="5" t="s">
        <v>4</v>
      </c>
      <c r="F9" s="5" t="s">
        <v>5</v>
      </c>
      <c r="G9" s="5" t="s">
        <v>6</v>
      </c>
      <c r="H9" s="5" t="s">
        <v>7</v>
      </c>
      <c r="I9" s="5" t="s">
        <v>8</v>
      </c>
      <c r="J9" s="5" t="s">
        <v>10</v>
      </c>
      <c r="K9" s="5" t="s">
        <v>11</v>
      </c>
      <c r="L9" s="5" t="s">
        <v>12</v>
      </c>
      <c r="M9" s="5" t="s">
        <v>13</v>
      </c>
      <c r="N9" s="5" t="s">
        <v>14</v>
      </c>
      <c r="O9" s="5" t="s">
        <v>15</v>
      </c>
      <c r="P9" s="5" t="s">
        <v>16</v>
      </c>
      <c r="Q9" s="5" t="s">
        <v>4</v>
      </c>
      <c r="R9" s="4" t="s">
        <v>102</v>
      </c>
    </row>
    <row r="10" spans="3:19" x14ac:dyDescent="0.55000000000000004">
      <c r="C10" s="230" t="s">
        <v>26</v>
      </c>
      <c r="D10" s="230" t="s">
        <v>3</v>
      </c>
      <c r="E10" s="7">
        <v>15</v>
      </c>
      <c r="F10" s="7">
        <v>19</v>
      </c>
      <c r="G10" s="7">
        <v>20</v>
      </c>
      <c r="H10" s="7">
        <v>19</v>
      </c>
      <c r="I10" s="7">
        <v>26</v>
      </c>
      <c r="J10" s="7">
        <v>26</v>
      </c>
      <c r="K10" s="7">
        <v>25</v>
      </c>
      <c r="L10" s="7">
        <v>24</v>
      </c>
      <c r="M10" s="7">
        <v>24</v>
      </c>
      <c r="N10" s="7">
        <v>24</v>
      </c>
      <c r="O10" s="7">
        <v>22</v>
      </c>
      <c r="P10" s="7">
        <v>22</v>
      </c>
      <c r="Q10" s="7">
        <v>21</v>
      </c>
      <c r="R10" s="32" t="s">
        <v>150</v>
      </c>
    </row>
    <row r="11" spans="3:19" x14ac:dyDescent="0.55000000000000004">
      <c r="C11" s="230"/>
      <c r="D11" s="230"/>
      <c r="E11" s="15" t="e">
        <f>E10-#REF!</f>
        <v>#REF!</v>
      </c>
      <c r="F11" s="15" t="e">
        <f>F10-#REF!</f>
        <v>#REF!</v>
      </c>
      <c r="G11" s="15" t="e">
        <f>G10-#REF!</f>
        <v>#REF!</v>
      </c>
      <c r="H11" s="15" t="e">
        <f>H10-#REF!</f>
        <v>#REF!</v>
      </c>
      <c r="I11" s="15" t="e">
        <f>I10-#REF!</f>
        <v>#REF!</v>
      </c>
      <c r="J11" s="15" t="e">
        <f>J10-#REF!</f>
        <v>#REF!</v>
      </c>
      <c r="K11" s="15" t="e">
        <f>K10-#REF!</f>
        <v>#REF!</v>
      </c>
      <c r="L11" s="8" t="e">
        <f>L10-#REF!</f>
        <v>#REF!</v>
      </c>
      <c r="M11" s="8" t="e">
        <f>M10-#REF!</f>
        <v>#REF!</v>
      </c>
      <c r="N11" s="8" t="e">
        <f>N10-#REF!</f>
        <v>#REF!</v>
      </c>
      <c r="O11" s="8" t="e">
        <f>O10-#REF!</f>
        <v>#REF!</v>
      </c>
      <c r="P11" s="8" t="e">
        <f>P10-#REF!</f>
        <v>#REF!</v>
      </c>
      <c r="Q11" s="8" t="e">
        <f>Q10-#REF!</f>
        <v>#REF!</v>
      </c>
    </row>
    <row r="12" spans="3:19" x14ac:dyDescent="0.55000000000000004">
      <c r="C12" s="230"/>
      <c r="D12" s="234" t="s">
        <v>17</v>
      </c>
      <c r="E12" s="14">
        <v>2720</v>
      </c>
      <c r="F12" s="11">
        <v>3450</v>
      </c>
      <c r="G12" s="11">
        <v>3650</v>
      </c>
      <c r="H12" s="11">
        <v>3485</v>
      </c>
      <c r="I12" s="11">
        <v>4185</v>
      </c>
      <c r="J12" s="11">
        <v>4185</v>
      </c>
      <c r="K12" s="11">
        <v>3985</v>
      </c>
      <c r="L12" s="11">
        <v>3785</v>
      </c>
      <c r="M12" s="11">
        <v>3785</v>
      </c>
      <c r="N12" s="11">
        <v>3785</v>
      </c>
      <c r="O12" s="11">
        <v>3420</v>
      </c>
      <c r="P12" s="11">
        <v>3420</v>
      </c>
      <c r="Q12" s="11">
        <v>3220</v>
      </c>
    </row>
    <row r="13" spans="3:19" x14ac:dyDescent="0.55000000000000004">
      <c r="C13" s="230"/>
      <c r="D13" s="235"/>
      <c r="E13" s="14" t="e">
        <f>E12-#REF!</f>
        <v>#REF!</v>
      </c>
      <c r="F13" s="18" t="e">
        <f>F12-#REF!</f>
        <v>#REF!</v>
      </c>
      <c r="G13" s="18" t="e">
        <f>G12-#REF!</f>
        <v>#REF!</v>
      </c>
      <c r="H13" s="18" t="e">
        <f>H12-#REF!</f>
        <v>#REF!</v>
      </c>
      <c r="I13" s="18" t="e">
        <f>I12-#REF!</f>
        <v>#REF!</v>
      </c>
      <c r="J13" s="18" t="e">
        <f>J12-#REF!</f>
        <v>#REF!</v>
      </c>
      <c r="K13" s="18" t="e">
        <f>K12-#REF!</f>
        <v>#REF!</v>
      </c>
      <c r="L13" s="11" t="e">
        <f>L12-#REF!</f>
        <v>#REF!</v>
      </c>
      <c r="M13" s="11" t="e">
        <f>M12-#REF!</f>
        <v>#REF!</v>
      </c>
      <c r="N13" s="11" t="e">
        <f>N12-#REF!</f>
        <v>#REF!</v>
      </c>
      <c r="O13" s="11" t="e">
        <f>O12-#REF!</f>
        <v>#REF!</v>
      </c>
      <c r="P13" s="11" t="e">
        <f>P12-#REF!</f>
        <v>#REF!</v>
      </c>
      <c r="Q13" s="11" t="e">
        <f>Q12-#REF!</f>
        <v>#REF!</v>
      </c>
    </row>
    <row r="14" spans="3:19" ht="81.5" customHeight="1" x14ac:dyDescent="0.55000000000000004">
      <c r="C14" s="19"/>
      <c r="D14" s="19"/>
      <c r="E14" s="236" t="s">
        <v>145</v>
      </c>
      <c r="F14" s="237"/>
      <c r="G14" s="236" t="s">
        <v>144</v>
      </c>
      <c r="H14" s="237"/>
      <c r="I14" s="41" t="s">
        <v>158</v>
      </c>
      <c r="J14" s="236" t="s">
        <v>147</v>
      </c>
      <c r="K14" s="237"/>
      <c r="L14" s="42" t="s">
        <v>91</v>
      </c>
      <c r="M14" s="236" t="s">
        <v>148</v>
      </c>
      <c r="N14" s="237"/>
      <c r="O14" s="42" t="s">
        <v>91</v>
      </c>
      <c r="P14" s="236" t="s">
        <v>149</v>
      </c>
      <c r="Q14" s="237"/>
      <c r="R14" s="28"/>
    </row>
  </sheetData>
  <mergeCells count="18">
    <mergeCell ref="P8:Q8"/>
    <mergeCell ref="C9:D9"/>
    <mergeCell ref="C10:C13"/>
    <mergeCell ref="D10:D11"/>
    <mergeCell ref="D12:D13"/>
    <mergeCell ref="E8:F8"/>
    <mergeCell ref="G8:H8"/>
    <mergeCell ref="P14:Q14"/>
    <mergeCell ref="E14:F14"/>
    <mergeCell ref="G14:H14"/>
    <mergeCell ref="J14:K14"/>
    <mergeCell ref="M14:N14"/>
    <mergeCell ref="J8:K8"/>
    <mergeCell ref="M8:N8"/>
    <mergeCell ref="C1:D1"/>
    <mergeCell ref="D6:D7"/>
    <mergeCell ref="C2:C5"/>
    <mergeCell ref="C6:C7"/>
  </mergeCells>
  <phoneticPr fontId="2"/>
  <pageMargins left="0.23622047244094491" right="0.23622047244094491" top="0.62992125984251968" bottom="1.0629921259842521" header="0.31496062992125984" footer="0.31496062992125984"/>
  <pageSetup paperSize="8" scale="9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7DE65-9E79-4BBF-8817-ED0B81FC13AE}">
  <sheetPr>
    <pageSetUpPr fitToPage="1"/>
  </sheetPr>
  <dimension ref="A1:BC92"/>
  <sheetViews>
    <sheetView topLeftCell="A5" workbookViewId="0">
      <selection activeCell="C1" sqref="C1:J1048576"/>
    </sheetView>
  </sheetViews>
  <sheetFormatPr defaultRowHeight="18" x14ac:dyDescent="0.55000000000000004"/>
  <cols>
    <col min="1" max="2" width="4.58203125" customWidth="1"/>
    <col min="3" max="3" width="4.58203125" hidden="1" customWidth="1"/>
    <col min="4" max="5" width="4.58203125" style="1" hidden="1" customWidth="1"/>
    <col min="6" max="10" width="4.58203125" hidden="1" customWidth="1"/>
    <col min="11" max="28" width="4.58203125" customWidth="1"/>
    <col min="29" max="29" width="35.4140625" customWidth="1"/>
  </cols>
  <sheetData>
    <row r="1" spans="1:29" x14ac:dyDescent="0.55000000000000004">
      <c r="A1" s="43" t="s">
        <v>173</v>
      </c>
    </row>
    <row r="2" spans="1:29" x14ac:dyDescent="0.55000000000000004">
      <c r="A2" s="261"/>
      <c r="B2" s="261"/>
      <c r="C2" s="262" t="s">
        <v>4</v>
      </c>
      <c r="D2" s="263"/>
      <c r="E2" s="262" t="s">
        <v>5</v>
      </c>
      <c r="F2" s="263"/>
      <c r="G2" s="262" t="s">
        <v>6</v>
      </c>
      <c r="H2" s="263"/>
      <c r="I2" s="262" t="s">
        <v>7</v>
      </c>
      <c r="J2" s="263"/>
      <c r="K2" s="262" t="s">
        <v>8</v>
      </c>
      <c r="L2" s="263"/>
      <c r="M2" s="262" t="s">
        <v>10</v>
      </c>
      <c r="N2" s="263"/>
      <c r="O2" s="262" t="s">
        <v>11</v>
      </c>
      <c r="P2" s="263"/>
      <c r="Q2" s="262" t="s">
        <v>12</v>
      </c>
      <c r="R2" s="263"/>
      <c r="S2" s="262" t="s">
        <v>13</v>
      </c>
      <c r="T2" s="263"/>
      <c r="U2" s="262" t="s">
        <v>14</v>
      </c>
      <c r="V2" s="263"/>
      <c r="W2" s="262" t="s">
        <v>15</v>
      </c>
      <c r="X2" s="263"/>
      <c r="Y2" s="262" t="s">
        <v>16</v>
      </c>
      <c r="Z2" s="263"/>
      <c r="AA2" s="262" t="s">
        <v>4</v>
      </c>
      <c r="AB2" s="263"/>
    </row>
    <row r="3" spans="1:29" ht="18.5" thickBot="1" x14ac:dyDescent="0.6">
      <c r="A3" s="255" t="s">
        <v>153</v>
      </c>
      <c r="B3" s="255"/>
      <c r="C3" s="264">
        <v>16</v>
      </c>
      <c r="D3" s="265"/>
      <c r="E3" s="264">
        <v>16</v>
      </c>
      <c r="F3" s="265"/>
      <c r="G3" s="264">
        <v>16</v>
      </c>
      <c r="H3" s="265"/>
      <c r="I3" s="264">
        <v>16</v>
      </c>
      <c r="J3" s="265"/>
      <c r="K3" s="264">
        <v>18</v>
      </c>
      <c r="L3" s="265"/>
      <c r="M3" s="264">
        <v>18</v>
      </c>
      <c r="N3" s="265"/>
      <c r="O3" s="264">
        <v>18</v>
      </c>
      <c r="P3" s="265"/>
      <c r="Q3" s="264">
        <v>18</v>
      </c>
      <c r="R3" s="265"/>
      <c r="S3" s="264">
        <v>18</v>
      </c>
      <c r="T3" s="265"/>
      <c r="U3" s="264">
        <v>18</v>
      </c>
      <c r="V3" s="265"/>
      <c r="W3" s="264">
        <v>20</v>
      </c>
      <c r="X3" s="265"/>
      <c r="Y3" s="264">
        <v>20</v>
      </c>
      <c r="Z3" s="265"/>
      <c r="AA3" s="264">
        <v>20</v>
      </c>
      <c r="AB3" s="265"/>
    </row>
    <row r="4" spans="1:29" ht="18.5" thickBot="1" x14ac:dyDescent="0.6">
      <c r="A4" s="256" t="s">
        <v>160</v>
      </c>
      <c r="B4" s="257"/>
      <c r="C4" s="266">
        <f>C36</f>
        <v>16</v>
      </c>
      <c r="D4" s="267"/>
      <c r="E4" s="266">
        <f>E36</f>
        <v>16</v>
      </c>
      <c r="F4" s="267"/>
      <c r="G4" s="266">
        <f>G36</f>
        <v>16</v>
      </c>
      <c r="H4" s="267"/>
      <c r="I4" s="266">
        <f>I36</f>
        <v>15</v>
      </c>
      <c r="J4" s="267"/>
      <c r="K4" s="266">
        <f>K36</f>
        <v>15</v>
      </c>
      <c r="L4" s="267"/>
      <c r="M4" s="266">
        <f>M36</f>
        <v>15</v>
      </c>
      <c r="N4" s="267"/>
      <c r="O4" s="266">
        <f>O36</f>
        <v>16</v>
      </c>
      <c r="P4" s="267"/>
      <c r="Q4" s="266">
        <f>Q36</f>
        <v>17</v>
      </c>
      <c r="R4" s="267"/>
      <c r="S4" s="266">
        <f>S36</f>
        <v>17</v>
      </c>
      <c r="T4" s="267"/>
      <c r="U4" s="266">
        <f>U36</f>
        <v>17</v>
      </c>
      <c r="V4" s="267"/>
      <c r="W4" s="266">
        <f>W36</f>
        <v>19</v>
      </c>
      <c r="X4" s="267"/>
      <c r="Y4" s="266">
        <f>Y36</f>
        <v>19</v>
      </c>
      <c r="Z4" s="274"/>
      <c r="AA4" s="275">
        <f>AA36</f>
        <v>21</v>
      </c>
      <c r="AB4" s="276"/>
    </row>
    <row r="5" spans="1:29" x14ac:dyDescent="0.55000000000000004">
      <c r="A5" s="258" t="s">
        <v>169</v>
      </c>
      <c r="B5" s="258"/>
      <c r="C5" s="268">
        <f>C3-C4</f>
        <v>0</v>
      </c>
      <c r="D5" s="269"/>
      <c r="E5" s="268">
        <f>E4-E3</f>
        <v>0</v>
      </c>
      <c r="F5" s="269"/>
      <c r="G5" s="268">
        <f>G4-G3</f>
        <v>0</v>
      </c>
      <c r="H5" s="269"/>
      <c r="I5" s="268">
        <f>I4-I3</f>
        <v>-1</v>
      </c>
      <c r="J5" s="269"/>
      <c r="K5" s="268">
        <f>K4-K3</f>
        <v>-3</v>
      </c>
      <c r="L5" s="269"/>
      <c r="M5" s="268">
        <f>M4-M3</f>
        <v>-3</v>
      </c>
      <c r="N5" s="269"/>
      <c r="O5" s="268">
        <f>O4-O3</f>
        <v>-2</v>
      </c>
      <c r="P5" s="269"/>
      <c r="Q5" s="268">
        <f>Q4-Q3</f>
        <v>-1</v>
      </c>
      <c r="R5" s="269"/>
      <c r="S5" s="268">
        <f>S4-S3</f>
        <v>-1</v>
      </c>
      <c r="T5" s="269"/>
      <c r="U5" s="268">
        <f>U4-U3</f>
        <v>-1</v>
      </c>
      <c r="V5" s="269"/>
      <c r="W5" s="268">
        <f>W4-W3</f>
        <v>-1</v>
      </c>
      <c r="X5" s="269"/>
      <c r="Y5" s="268">
        <f>Y4-Y3</f>
        <v>-1</v>
      </c>
      <c r="Z5" s="269"/>
      <c r="AA5" s="268">
        <f>AA4-AA3</f>
        <v>1</v>
      </c>
      <c r="AB5" s="269"/>
    </row>
    <row r="6" spans="1:29" x14ac:dyDescent="0.55000000000000004">
      <c r="A6" s="259" t="s">
        <v>17</v>
      </c>
      <c r="B6" s="259"/>
      <c r="C6" s="270">
        <f>D36</f>
        <v>2940</v>
      </c>
      <c r="D6" s="271"/>
      <c r="E6" s="270">
        <f>F36</f>
        <v>2940</v>
      </c>
      <c r="F6" s="271"/>
      <c r="G6" s="270">
        <f>H36</f>
        <v>2940</v>
      </c>
      <c r="H6" s="271"/>
      <c r="I6" s="270">
        <f>J36</f>
        <v>2705</v>
      </c>
      <c r="J6" s="271"/>
      <c r="K6" s="270">
        <f>L36</f>
        <v>2705</v>
      </c>
      <c r="L6" s="271"/>
      <c r="M6" s="270">
        <f>N36</f>
        <v>2705</v>
      </c>
      <c r="N6" s="271"/>
      <c r="O6" s="270">
        <f>P36</f>
        <v>2905</v>
      </c>
      <c r="P6" s="271"/>
      <c r="Q6" s="270">
        <f>R36</f>
        <v>3105</v>
      </c>
      <c r="R6" s="271"/>
      <c r="S6" s="270">
        <f>T36</f>
        <v>3105</v>
      </c>
      <c r="T6" s="271"/>
      <c r="U6" s="270">
        <f>V36</f>
        <v>3105</v>
      </c>
      <c r="V6" s="271"/>
      <c r="W6" s="270">
        <f>X36</f>
        <v>3470</v>
      </c>
      <c r="X6" s="271"/>
      <c r="Y6" s="270">
        <f>Z36</f>
        <v>3470</v>
      </c>
      <c r="Z6" s="271"/>
      <c r="AA6" s="270">
        <f>AB36</f>
        <v>3870</v>
      </c>
      <c r="AB6" s="271"/>
      <c r="AC6" s="1"/>
    </row>
    <row r="7" spans="1:29" s="44" customFormat="1" ht="10" customHeight="1" x14ac:dyDescent="0.55000000000000004">
      <c r="A7" s="55"/>
      <c r="B7" s="55"/>
    </row>
    <row r="8" spans="1:29" x14ac:dyDescent="0.55000000000000004">
      <c r="A8" s="259" t="s">
        <v>170</v>
      </c>
      <c r="B8" s="259"/>
      <c r="C8" s="272">
        <f>C47</f>
        <v>1</v>
      </c>
      <c r="D8" s="273"/>
      <c r="E8" s="272">
        <f>E47</f>
        <v>4</v>
      </c>
      <c r="F8" s="273"/>
      <c r="G8" s="272">
        <f>G47</f>
        <v>5</v>
      </c>
      <c r="H8" s="273"/>
      <c r="I8" s="272">
        <f>I47</f>
        <v>4</v>
      </c>
      <c r="J8" s="273"/>
      <c r="K8" s="272">
        <f>K47</f>
        <v>6</v>
      </c>
      <c r="L8" s="273"/>
      <c r="M8" s="272">
        <f>M47</f>
        <v>6</v>
      </c>
      <c r="N8" s="273"/>
      <c r="O8" s="272">
        <f>O47</f>
        <v>5</v>
      </c>
      <c r="P8" s="273"/>
      <c r="Q8" s="272">
        <f>Q47</f>
        <v>4</v>
      </c>
      <c r="R8" s="273"/>
      <c r="S8" s="272">
        <f>S47</f>
        <v>4</v>
      </c>
      <c r="T8" s="273"/>
      <c r="U8" s="272">
        <f>U47</f>
        <v>4</v>
      </c>
      <c r="V8" s="273"/>
      <c r="W8" s="272">
        <f>W47</f>
        <v>2</v>
      </c>
      <c r="X8" s="273"/>
      <c r="Y8" s="272">
        <f>Y47</f>
        <v>2</v>
      </c>
      <c r="Z8" s="273"/>
      <c r="AA8" s="272">
        <f>AA47</f>
        <v>0</v>
      </c>
      <c r="AB8" s="273"/>
      <c r="AC8" s="44"/>
    </row>
    <row r="9" spans="1:29" ht="14.5" customHeight="1" x14ac:dyDescent="0.55000000000000004">
      <c r="I9" s="54" t="s">
        <v>206</v>
      </c>
      <c r="AC9" s="44"/>
    </row>
    <row r="10" spans="1:29" ht="15" customHeight="1" x14ac:dyDescent="0.55000000000000004">
      <c r="C10" s="26" t="s">
        <v>174</v>
      </c>
      <c r="AC10" s="44"/>
    </row>
    <row r="11" spans="1:29" ht="15" customHeight="1" x14ac:dyDescent="0.55000000000000004">
      <c r="C11" s="253" t="s">
        <v>4</v>
      </c>
      <c r="D11" s="260"/>
      <c r="E11" s="253" t="s">
        <v>5</v>
      </c>
      <c r="F11" s="260"/>
      <c r="G11" s="253" t="s">
        <v>6</v>
      </c>
      <c r="H11" s="260"/>
      <c r="I11" s="253" t="s">
        <v>7</v>
      </c>
      <c r="J11" s="260"/>
      <c r="K11" s="253" t="s">
        <v>8</v>
      </c>
      <c r="L11" s="260"/>
      <c r="M11" s="253" t="s">
        <v>10</v>
      </c>
      <c r="N11" s="260"/>
      <c r="O11" s="253" t="s">
        <v>11</v>
      </c>
      <c r="P11" s="260"/>
      <c r="Q11" s="253" t="s">
        <v>12</v>
      </c>
      <c r="R11" s="260"/>
      <c r="S11" s="253" t="s">
        <v>13</v>
      </c>
      <c r="T11" s="260"/>
      <c r="U11" s="253" t="s">
        <v>14</v>
      </c>
      <c r="V11" s="260"/>
      <c r="W11" s="253" t="s">
        <v>15</v>
      </c>
      <c r="X11" s="260"/>
      <c r="Y11" s="253" t="s">
        <v>16</v>
      </c>
      <c r="Z11" s="260"/>
      <c r="AA11" s="253" t="s">
        <v>4</v>
      </c>
      <c r="AB11" s="260"/>
    </row>
    <row r="12" spans="1:29" ht="15" customHeight="1" x14ac:dyDescent="0.55000000000000004">
      <c r="C12" s="45" t="s">
        <v>168</v>
      </c>
      <c r="D12" s="45">
        <v>200</v>
      </c>
      <c r="E12" s="45" t="s">
        <v>168</v>
      </c>
      <c r="F12" s="45">
        <v>200</v>
      </c>
      <c r="G12" s="45" t="s">
        <v>168</v>
      </c>
      <c r="H12" s="45">
        <v>200</v>
      </c>
      <c r="I12" s="45" t="s">
        <v>168</v>
      </c>
      <c r="J12" s="45">
        <v>200</v>
      </c>
      <c r="K12" s="45" t="s">
        <v>168</v>
      </c>
      <c r="L12" s="45">
        <v>200</v>
      </c>
      <c r="M12" s="45" t="s">
        <v>168</v>
      </c>
      <c r="N12" s="45">
        <v>200</v>
      </c>
      <c r="O12" s="45" t="s">
        <v>168</v>
      </c>
      <c r="P12" s="45">
        <v>200</v>
      </c>
      <c r="Q12" s="45" t="s">
        <v>168</v>
      </c>
      <c r="R12" s="45">
        <v>200</v>
      </c>
      <c r="S12" s="45" t="s">
        <v>168</v>
      </c>
      <c r="T12" s="45">
        <v>200</v>
      </c>
      <c r="U12" s="45" t="s">
        <v>168</v>
      </c>
      <c r="V12" s="45">
        <v>200</v>
      </c>
      <c r="W12" s="45" t="s">
        <v>168</v>
      </c>
      <c r="X12" s="45">
        <v>200</v>
      </c>
      <c r="Y12" s="45" t="s">
        <v>168</v>
      </c>
      <c r="Z12" s="45">
        <v>200</v>
      </c>
      <c r="AA12" s="45" t="s">
        <v>168</v>
      </c>
      <c r="AB12" s="45">
        <v>200</v>
      </c>
    </row>
    <row r="13" spans="1:29" ht="15" customHeight="1" x14ac:dyDescent="0.55000000000000004">
      <c r="C13" s="45" t="s">
        <v>61</v>
      </c>
      <c r="D13" s="45">
        <v>200</v>
      </c>
      <c r="E13" s="45" t="s">
        <v>61</v>
      </c>
      <c r="F13" s="45">
        <v>200</v>
      </c>
      <c r="G13" s="45" t="s">
        <v>61</v>
      </c>
      <c r="H13" s="45">
        <v>200</v>
      </c>
      <c r="I13" s="45" t="s">
        <v>61</v>
      </c>
      <c r="J13" s="45">
        <v>200</v>
      </c>
      <c r="K13" s="45" t="s">
        <v>61</v>
      </c>
      <c r="L13" s="45">
        <v>200</v>
      </c>
      <c r="M13" s="45" t="s">
        <v>61</v>
      </c>
      <c r="N13" s="45">
        <v>200</v>
      </c>
      <c r="O13" s="45" t="s">
        <v>61</v>
      </c>
      <c r="P13" s="45">
        <v>200</v>
      </c>
      <c r="Q13" s="45" t="s">
        <v>61</v>
      </c>
      <c r="R13" s="45">
        <v>200</v>
      </c>
      <c r="S13" s="45" t="s">
        <v>61</v>
      </c>
      <c r="T13" s="45">
        <v>200</v>
      </c>
      <c r="U13" s="45" t="s">
        <v>61</v>
      </c>
      <c r="V13" s="45">
        <v>200</v>
      </c>
      <c r="W13" s="45" t="s">
        <v>61</v>
      </c>
      <c r="X13" s="45">
        <v>200</v>
      </c>
      <c r="Y13" s="45" t="s">
        <v>61</v>
      </c>
      <c r="Z13" s="45">
        <v>200</v>
      </c>
      <c r="AA13" s="45" t="s">
        <v>61</v>
      </c>
      <c r="AB13" s="45">
        <v>200</v>
      </c>
    </row>
    <row r="14" spans="1:29" ht="15" customHeight="1" x14ac:dyDescent="0.55000000000000004">
      <c r="C14" s="45" t="s">
        <v>62</v>
      </c>
      <c r="D14" s="45">
        <v>200</v>
      </c>
      <c r="E14" s="45" t="s">
        <v>62</v>
      </c>
      <c r="F14" s="45">
        <v>200</v>
      </c>
      <c r="G14" s="45" t="s">
        <v>62</v>
      </c>
      <c r="H14" s="45">
        <v>200</v>
      </c>
      <c r="I14" s="45" t="s">
        <v>62</v>
      </c>
      <c r="J14" s="45">
        <v>200</v>
      </c>
      <c r="K14" s="45" t="s">
        <v>62</v>
      </c>
      <c r="L14" s="45">
        <v>200</v>
      </c>
      <c r="M14" s="45" t="s">
        <v>62</v>
      </c>
      <c r="N14" s="45">
        <v>200</v>
      </c>
      <c r="O14" s="45" t="s">
        <v>62</v>
      </c>
      <c r="P14" s="45">
        <v>200</v>
      </c>
      <c r="Q14" s="45" t="s">
        <v>62</v>
      </c>
      <c r="R14" s="45">
        <v>200</v>
      </c>
      <c r="S14" s="45" t="s">
        <v>62</v>
      </c>
      <c r="T14" s="45">
        <v>200</v>
      </c>
      <c r="U14" s="45" t="s">
        <v>62</v>
      </c>
      <c r="V14" s="45">
        <v>200</v>
      </c>
      <c r="W14" s="45" t="s">
        <v>62</v>
      </c>
      <c r="X14" s="45">
        <v>200</v>
      </c>
      <c r="Y14" s="45" t="s">
        <v>62</v>
      </c>
      <c r="Z14" s="45">
        <v>200</v>
      </c>
      <c r="AA14" s="45" t="s">
        <v>62</v>
      </c>
      <c r="AB14" s="45">
        <v>200</v>
      </c>
    </row>
    <row r="15" spans="1:29" ht="15" customHeight="1" x14ac:dyDescent="0.55000000000000004">
      <c r="C15" s="45" t="s">
        <v>63</v>
      </c>
      <c r="D15" s="45">
        <v>200</v>
      </c>
      <c r="E15" s="45" t="s">
        <v>63</v>
      </c>
      <c r="F15" s="45">
        <v>200</v>
      </c>
      <c r="G15" s="45" t="s">
        <v>63</v>
      </c>
      <c r="H15" s="45">
        <v>200</v>
      </c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</row>
    <row r="16" spans="1:29" ht="15" customHeight="1" x14ac:dyDescent="0.55000000000000004">
      <c r="C16" s="45" t="s">
        <v>64</v>
      </c>
      <c r="D16" s="45">
        <v>200</v>
      </c>
      <c r="E16" s="45" t="s">
        <v>64</v>
      </c>
      <c r="F16" s="45">
        <v>200</v>
      </c>
      <c r="G16" s="45" t="s">
        <v>64</v>
      </c>
      <c r="H16" s="45">
        <v>200</v>
      </c>
      <c r="I16" s="45" t="s">
        <v>64</v>
      </c>
      <c r="J16" s="45">
        <v>200</v>
      </c>
      <c r="K16" s="45" t="s">
        <v>64</v>
      </c>
      <c r="L16" s="45">
        <v>200</v>
      </c>
      <c r="M16" s="45" t="s">
        <v>64</v>
      </c>
      <c r="N16" s="45">
        <v>200</v>
      </c>
      <c r="O16" s="45" t="s">
        <v>64</v>
      </c>
      <c r="P16" s="45">
        <v>200</v>
      </c>
      <c r="Q16" s="45" t="s">
        <v>64</v>
      </c>
      <c r="R16" s="45">
        <v>200</v>
      </c>
      <c r="S16" s="45" t="s">
        <v>64</v>
      </c>
      <c r="T16" s="45">
        <v>200</v>
      </c>
      <c r="U16" s="45" t="s">
        <v>64</v>
      </c>
      <c r="V16" s="45">
        <v>200</v>
      </c>
      <c r="W16" s="45" t="s">
        <v>64</v>
      </c>
      <c r="X16" s="45">
        <v>200</v>
      </c>
      <c r="Y16" s="45" t="s">
        <v>64</v>
      </c>
      <c r="Z16" s="45">
        <v>200</v>
      </c>
      <c r="AA16" s="45" t="s">
        <v>64</v>
      </c>
      <c r="AB16" s="45">
        <v>200</v>
      </c>
    </row>
    <row r="17" spans="3:28" ht="15" customHeight="1" x14ac:dyDescent="0.55000000000000004">
      <c r="C17" s="45" t="s">
        <v>65</v>
      </c>
      <c r="D17" s="45">
        <v>200</v>
      </c>
      <c r="E17" s="45" t="s">
        <v>65</v>
      </c>
      <c r="F17" s="45">
        <v>200</v>
      </c>
      <c r="G17" s="45" t="s">
        <v>65</v>
      </c>
      <c r="H17" s="45">
        <v>200</v>
      </c>
      <c r="I17" s="45" t="s">
        <v>65</v>
      </c>
      <c r="J17" s="45">
        <v>200</v>
      </c>
      <c r="K17" s="45" t="s">
        <v>65</v>
      </c>
      <c r="L17" s="45">
        <v>200</v>
      </c>
      <c r="M17" s="45" t="s">
        <v>65</v>
      </c>
      <c r="N17" s="45">
        <v>200</v>
      </c>
      <c r="O17" s="45" t="s">
        <v>65</v>
      </c>
      <c r="P17" s="45">
        <v>200</v>
      </c>
      <c r="Q17" s="45" t="s">
        <v>65</v>
      </c>
      <c r="R17" s="45">
        <v>200</v>
      </c>
      <c r="S17" s="45" t="s">
        <v>65</v>
      </c>
      <c r="T17" s="45">
        <v>200</v>
      </c>
      <c r="U17" s="45" t="s">
        <v>65</v>
      </c>
      <c r="V17" s="45">
        <v>200</v>
      </c>
      <c r="W17" s="45" t="s">
        <v>65</v>
      </c>
      <c r="X17" s="45">
        <v>200</v>
      </c>
      <c r="Y17" s="45" t="s">
        <v>65</v>
      </c>
      <c r="Z17" s="45">
        <v>200</v>
      </c>
      <c r="AA17" s="45" t="s">
        <v>65</v>
      </c>
      <c r="AB17" s="45">
        <v>200</v>
      </c>
    </row>
    <row r="18" spans="3:28" ht="15" customHeight="1" x14ac:dyDescent="0.55000000000000004">
      <c r="C18" s="45" t="s">
        <v>66</v>
      </c>
      <c r="D18" s="45">
        <v>200</v>
      </c>
      <c r="E18" s="45" t="s">
        <v>66</v>
      </c>
      <c r="F18" s="45">
        <v>200</v>
      </c>
      <c r="G18" s="45" t="s">
        <v>66</v>
      </c>
      <c r="H18" s="45">
        <v>200</v>
      </c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</row>
    <row r="19" spans="3:28" ht="15" customHeight="1" x14ac:dyDescent="0.55000000000000004">
      <c r="C19" s="45" t="s">
        <v>40</v>
      </c>
      <c r="D19" s="45">
        <v>200</v>
      </c>
      <c r="E19" s="45" t="s">
        <v>40</v>
      </c>
      <c r="F19" s="45">
        <v>200</v>
      </c>
      <c r="G19" s="45" t="s">
        <v>40</v>
      </c>
      <c r="H19" s="45">
        <v>200</v>
      </c>
      <c r="I19" s="45" t="s">
        <v>40</v>
      </c>
      <c r="J19" s="45">
        <v>200</v>
      </c>
      <c r="K19" s="45" t="s">
        <v>40</v>
      </c>
      <c r="L19" s="45">
        <v>200</v>
      </c>
      <c r="M19" s="45" t="s">
        <v>40</v>
      </c>
      <c r="N19" s="45">
        <v>200</v>
      </c>
      <c r="O19" s="45" t="s">
        <v>40</v>
      </c>
      <c r="P19" s="45">
        <v>200</v>
      </c>
      <c r="Q19" s="45" t="s">
        <v>40</v>
      </c>
      <c r="R19" s="45">
        <v>200</v>
      </c>
      <c r="S19" s="45" t="s">
        <v>40</v>
      </c>
      <c r="T19" s="45">
        <v>200</v>
      </c>
      <c r="U19" s="45" t="s">
        <v>40</v>
      </c>
      <c r="V19" s="45">
        <v>200</v>
      </c>
      <c r="W19" s="45" t="s">
        <v>40</v>
      </c>
      <c r="X19" s="45">
        <v>200</v>
      </c>
      <c r="Y19" s="45" t="s">
        <v>40</v>
      </c>
      <c r="Z19" s="45">
        <v>200</v>
      </c>
      <c r="AA19" s="45" t="s">
        <v>40</v>
      </c>
      <c r="AB19" s="45">
        <v>200</v>
      </c>
    </row>
    <row r="20" spans="3:28" ht="15" customHeight="1" x14ac:dyDescent="0.55000000000000004">
      <c r="C20" s="45" t="s">
        <v>204</v>
      </c>
      <c r="D20" s="45">
        <v>130</v>
      </c>
      <c r="E20" s="45" t="s">
        <v>204</v>
      </c>
      <c r="F20" s="45">
        <v>130</v>
      </c>
      <c r="G20" s="45" t="s">
        <v>204</v>
      </c>
      <c r="H20" s="45">
        <v>130</v>
      </c>
      <c r="I20" s="45" t="s">
        <v>204</v>
      </c>
      <c r="J20" s="45">
        <v>130</v>
      </c>
      <c r="K20" s="45" t="s">
        <v>204</v>
      </c>
      <c r="L20" s="45">
        <v>130</v>
      </c>
      <c r="M20" s="45" t="s">
        <v>204</v>
      </c>
      <c r="N20" s="45">
        <v>130</v>
      </c>
      <c r="O20" s="45" t="s">
        <v>204</v>
      </c>
      <c r="P20" s="45">
        <v>130</v>
      </c>
      <c r="Q20" s="45" t="s">
        <v>204</v>
      </c>
      <c r="R20" s="45">
        <v>130</v>
      </c>
      <c r="S20" s="45" t="s">
        <v>204</v>
      </c>
      <c r="T20" s="45">
        <v>130</v>
      </c>
      <c r="U20" s="45" t="s">
        <v>204</v>
      </c>
      <c r="V20" s="45">
        <v>130</v>
      </c>
      <c r="W20" s="45" t="s">
        <v>204</v>
      </c>
      <c r="X20" s="45">
        <v>130</v>
      </c>
      <c r="Y20" s="45" t="s">
        <v>204</v>
      </c>
      <c r="Z20" s="45">
        <v>130</v>
      </c>
      <c r="AA20" s="45" t="s">
        <v>204</v>
      </c>
      <c r="AB20" s="45">
        <v>130</v>
      </c>
    </row>
    <row r="21" spans="3:28" ht="15" customHeight="1" x14ac:dyDescent="0.55000000000000004">
      <c r="C21" s="45" t="s">
        <v>69</v>
      </c>
      <c r="D21" s="45">
        <v>200</v>
      </c>
      <c r="E21" s="45" t="s">
        <v>69</v>
      </c>
      <c r="F21" s="45">
        <v>200</v>
      </c>
      <c r="G21" s="45" t="s">
        <v>69</v>
      </c>
      <c r="H21" s="45">
        <v>200</v>
      </c>
      <c r="I21" s="45" t="s">
        <v>69</v>
      </c>
      <c r="J21" s="45">
        <v>200</v>
      </c>
      <c r="K21" s="45" t="s">
        <v>69</v>
      </c>
      <c r="L21" s="45">
        <v>200</v>
      </c>
      <c r="M21" s="45" t="s">
        <v>69</v>
      </c>
      <c r="N21" s="45">
        <v>200</v>
      </c>
      <c r="O21" s="45" t="s">
        <v>69</v>
      </c>
      <c r="P21" s="45">
        <v>200</v>
      </c>
      <c r="Q21" s="45" t="s">
        <v>69</v>
      </c>
      <c r="R21" s="45">
        <v>200</v>
      </c>
      <c r="S21" s="45" t="s">
        <v>69</v>
      </c>
      <c r="T21" s="45">
        <v>200</v>
      </c>
      <c r="U21" s="45" t="s">
        <v>69</v>
      </c>
      <c r="V21" s="45">
        <v>200</v>
      </c>
      <c r="W21" s="45" t="s">
        <v>69</v>
      </c>
      <c r="X21" s="45">
        <v>200</v>
      </c>
      <c r="Y21" s="45" t="s">
        <v>69</v>
      </c>
      <c r="Z21" s="45">
        <v>200</v>
      </c>
      <c r="AA21" s="45" t="s">
        <v>69</v>
      </c>
      <c r="AB21" s="45">
        <v>200</v>
      </c>
    </row>
    <row r="22" spans="3:28" ht="15" customHeight="1" x14ac:dyDescent="0.55000000000000004">
      <c r="C22" s="45" t="s">
        <v>44</v>
      </c>
      <c r="D22" s="45">
        <v>200</v>
      </c>
      <c r="E22" s="45" t="s">
        <v>44</v>
      </c>
      <c r="F22" s="45">
        <v>200</v>
      </c>
      <c r="G22" s="45" t="s">
        <v>44</v>
      </c>
      <c r="H22" s="45">
        <v>200</v>
      </c>
      <c r="I22" s="45" t="s">
        <v>44</v>
      </c>
      <c r="J22" s="45">
        <v>200</v>
      </c>
      <c r="K22" s="45" t="s">
        <v>44</v>
      </c>
      <c r="L22" s="45">
        <v>200</v>
      </c>
      <c r="M22" s="45" t="s">
        <v>44</v>
      </c>
      <c r="N22" s="45">
        <v>200</v>
      </c>
      <c r="O22" s="45" t="s">
        <v>44</v>
      </c>
      <c r="P22" s="45">
        <v>200</v>
      </c>
      <c r="Q22" s="45" t="s">
        <v>44</v>
      </c>
      <c r="R22" s="45">
        <v>200</v>
      </c>
      <c r="S22" s="45" t="s">
        <v>44</v>
      </c>
      <c r="T22" s="45">
        <v>200</v>
      </c>
      <c r="U22" s="45" t="s">
        <v>44</v>
      </c>
      <c r="V22" s="45">
        <v>200</v>
      </c>
      <c r="W22" s="45" t="s">
        <v>44</v>
      </c>
      <c r="X22" s="45">
        <v>200</v>
      </c>
      <c r="Y22" s="45" t="s">
        <v>44</v>
      </c>
      <c r="Z22" s="45">
        <v>200</v>
      </c>
      <c r="AA22" s="45" t="s">
        <v>44</v>
      </c>
      <c r="AB22" s="45">
        <v>200</v>
      </c>
    </row>
    <row r="23" spans="3:28" ht="15" customHeight="1" x14ac:dyDescent="0.55000000000000004">
      <c r="C23" s="45" t="s">
        <v>205</v>
      </c>
      <c r="D23" s="45">
        <v>200</v>
      </c>
      <c r="E23" s="45" t="s">
        <v>205</v>
      </c>
      <c r="F23" s="45">
        <v>200</v>
      </c>
      <c r="G23" s="45" t="s">
        <v>205</v>
      </c>
      <c r="H23" s="45">
        <v>200</v>
      </c>
      <c r="I23" s="45" t="s">
        <v>205</v>
      </c>
      <c r="J23" s="45">
        <v>200</v>
      </c>
      <c r="K23" s="45" t="s">
        <v>205</v>
      </c>
      <c r="L23" s="45">
        <v>200</v>
      </c>
      <c r="M23" s="45" t="s">
        <v>205</v>
      </c>
      <c r="N23" s="45">
        <v>200</v>
      </c>
      <c r="O23" s="45" t="s">
        <v>205</v>
      </c>
      <c r="P23" s="45">
        <v>200</v>
      </c>
      <c r="Q23" s="45" t="s">
        <v>205</v>
      </c>
      <c r="R23" s="45">
        <v>200</v>
      </c>
      <c r="S23" s="45" t="s">
        <v>205</v>
      </c>
      <c r="T23" s="45">
        <v>200</v>
      </c>
      <c r="U23" s="45" t="s">
        <v>205</v>
      </c>
      <c r="V23" s="45">
        <v>200</v>
      </c>
      <c r="W23" s="45" t="s">
        <v>205</v>
      </c>
      <c r="X23" s="45">
        <v>200</v>
      </c>
      <c r="Y23" s="45" t="s">
        <v>205</v>
      </c>
      <c r="Z23" s="45">
        <v>200</v>
      </c>
      <c r="AA23" s="45" t="s">
        <v>205</v>
      </c>
      <c r="AB23" s="45">
        <v>200</v>
      </c>
    </row>
    <row r="24" spans="3:28" ht="15" customHeight="1" x14ac:dyDescent="0.55000000000000004">
      <c r="C24" s="45" t="s">
        <v>70</v>
      </c>
      <c r="D24" s="45">
        <v>200</v>
      </c>
      <c r="E24" s="45" t="s">
        <v>70</v>
      </c>
      <c r="F24" s="45">
        <v>200</v>
      </c>
      <c r="G24" s="45" t="s">
        <v>70</v>
      </c>
      <c r="H24" s="45">
        <v>200</v>
      </c>
      <c r="I24" s="45" t="s">
        <v>70</v>
      </c>
      <c r="J24" s="45">
        <v>200</v>
      </c>
      <c r="K24" s="45" t="s">
        <v>70</v>
      </c>
      <c r="L24" s="45">
        <v>200</v>
      </c>
      <c r="M24" s="45" t="s">
        <v>70</v>
      </c>
      <c r="N24" s="45">
        <v>200</v>
      </c>
      <c r="O24" s="45" t="s">
        <v>70</v>
      </c>
      <c r="P24" s="45">
        <v>200</v>
      </c>
      <c r="Q24" s="45" t="s">
        <v>70</v>
      </c>
      <c r="R24" s="45">
        <v>200</v>
      </c>
      <c r="S24" s="45" t="s">
        <v>70</v>
      </c>
      <c r="T24" s="45">
        <v>200</v>
      </c>
      <c r="U24" s="45" t="s">
        <v>70</v>
      </c>
      <c r="V24" s="45">
        <v>200</v>
      </c>
      <c r="W24" s="45" t="s">
        <v>70</v>
      </c>
      <c r="X24" s="45">
        <v>200</v>
      </c>
      <c r="Y24" s="45" t="s">
        <v>70</v>
      </c>
      <c r="Z24" s="45">
        <v>200</v>
      </c>
      <c r="AA24" s="45" t="s">
        <v>70</v>
      </c>
      <c r="AB24" s="45">
        <v>200</v>
      </c>
    </row>
    <row r="25" spans="3:28" ht="15" customHeight="1" x14ac:dyDescent="0.55000000000000004">
      <c r="C25" s="45" t="s">
        <v>71</v>
      </c>
      <c r="D25" s="45">
        <v>100</v>
      </c>
      <c r="E25" s="45" t="s">
        <v>71</v>
      </c>
      <c r="F25" s="45">
        <v>100</v>
      </c>
      <c r="G25" s="45" t="s">
        <v>71</v>
      </c>
      <c r="H25" s="45">
        <v>100</v>
      </c>
      <c r="I25" s="45" t="s">
        <v>71</v>
      </c>
      <c r="J25" s="45">
        <v>100</v>
      </c>
      <c r="K25" s="45" t="s">
        <v>71</v>
      </c>
      <c r="L25" s="45">
        <v>100</v>
      </c>
      <c r="M25" s="45" t="s">
        <v>71</v>
      </c>
      <c r="N25" s="45">
        <v>100</v>
      </c>
      <c r="O25" s="45" t="s">
        <v>71</v>
      </c>
      <c r="P25" s="45">
        <v>100</v>
      </c>
      <c r="Q25" s="45" t="s">
        <v>71</v>
      </c>
      <c r="R25" s="45">
        <v>100</v>
      </c>
      <c r="S25" s="45" t="s">
        <v>71</v>
      </c>
      <c r="T25" s="45">
        <v>100</v>
      </c>
      <c r="U25" s="45" t="s">
        <v>71</v>
      </c>
      <c r="V25" s="45">
        <v>100</v>
      </c>
      <c r="W25" s="45" t="s">
        <v>71</v>
      </c>
      <c r="X25" s="45">
        <v>100</v>
      </c>
      <c r="Y25" s="45" t="s">
        <v>71</v>
      </c>
      <c r="Z25" s="45">
        <v>100</v>
      </c>
      <c r="AA25" s="45" t="s">
        <v>71</v>
      </c>
      <c r="AB25" s="45">
        <v>100</v>
      </c>
    </row>
    <row r="26" spans="3:28" ht="15" customHeight="1" x14ac:dyDescent="0.55000000000000004">
      <c r="C26" s="45" t="s">
        <v>72</v>
      </c>
      <c r="D26" s="45">
        <v>200</v>
      </c>
      <c r="E26" s="45" t="s">
        <v>72</v>
      </c>
      <c r="F26" s="45">
        <v>200</v>
      </c>
      <c r="G26" s="45" t="s">
        <v>72</v>
      </c>
      <c r="H26" s="45">
        <v>200</v>
      </c>
      <c r="I26" s="45" t="s">
        <v>72</v>
      </c>
      <c r="J26" s="45">
        <v>200</v>
      </c>
      <c r="K26" s="45" t="s">
        <v>72</v>
      </c>
      <c r="L26" s="45">
        <v>200</v>
      </c>
      <c r="M26" s="45" t="s">
        <v>72</v>
      </c>
      <c r="N26" s="45">
        <v>200</v>
      </c>
      <c r="O26" s="45" t="s">
        <v>72</v>
      </c>
      <c r="P26" s="45">
        <v>200</v>
      </c>
      <c r="Q26" s="45" t="s">
        <v>72</v>
      </c>
      <c r="R26" s="45">
        <v>200</v>
      </c>
      <c r="S26" s="45" t="s">
        <v>72</v>
      </c>
      <c r="T26" s="45">
        <v>200</v>
      </c>
      <c r="U26" s="45" t="s">
        <v>72</v>
      </c>
      <c r="V26" s="45">
        <v>200</v>
      </c>
      <c r="W26" s="45" t="s">
        <v>72</v>
      </c>
      <c r="X26" s="45">
        <v>200</v>
      </c>
      <c r="Y26" s="45" t="s">
        <v>72</v>
      </c>
      <c r="Z26" s="45">
        <v>200</v>
      </c>
      <c r="AA26" s="45" t="s">
        <v>72</v>
      </c>
      <c r="AB26" s="45">
        <v>200</v>
      </c>
    </row>
    <row r="27" spans="3:28" ht="15" customHeight="1" x14ac:dyDescent="0.55000000000000004">
      <c r="C27" s="45" t="s">
        <v>74</v>
      </c>
      <c r="D27" s="45">
        <v>110</v>
      </c>
      <c r="E27" s="45" t="s">
        <v>74</v>
      </c>
      <c r="F27" s="45">
        <v>110</v>
      </c>
      <c r="G27" s="45" t="s">
        <v>74</v>
      </c>
      <c r="H27" s="45">
        <v>110</v>
      </c>
      <c r="I27" s="45" t="s">
        <v>74</v>
      </c>
      <c r="J27" s="45">
        <v>110</v>
      </c>
      <c r="K27" s="45" t="s">
        <v>74</v>
      </c>
      <c r="L27" s="45">
        <v>110</v>
      </c>
      <c r="M27" s="45" t="s">
        <v>74</v>
      </c>
      <c r="N27" s="45">
        <v>110</v>
      </c>
      <c r="O27" s="45" t="s">
        <v>74</v>
      </c>
      <c r="P27" s="45">
        <v>110</v>
      </c>
      <c r="Q27" s="45" t="s">
        <v>74</v>
      </c>
      <c r="R27" s="45">
        <v>110</v>
      </c>
      <c r="S27" s="45" t="s">
        <v>74</v>
      </c>
      <c r="T27" s="45">
        <v>110</v>
      </c>
      <c r="U27" s="45" t="s">
        <v>74</v>
      </c>
      <c r="V27" s="45">
        <v>110</v>
      </c>
      <c r="W27" s="45" t="s">
        <v>74</v>
      </c>
      <c r="X27" s="45">
        <v>110</v>
      </c>
      <c r="Y27" s="45" t="s">
        <v>74</v>
      </c>
      <c r="Z27" s="45">
        <v>110</v>
      </c>
      <c r="AA27" s="45" t="s">
        <v>74</v>
      </c>
      <c r="AB27" s="45">
        <v>110</v>
      </c>
    </row>
    <row r="28" spans="3:28" ht="15" customHeight="1" x14ac:dyDescent="0.55000000000000004">
      <c r="C28" s="45"/>
      <c r="D28" s="45"/>
      <c r="E28" s="45"/>
      <c r="F28" s="45"/>
      <c r="G28" s="45"/>
      <c r="H28" s="45"/>
      <c r="I28" s="51" t="s">
        <v>161</v>
      </c>
      <c r="J28" s="45">
        <v>165</v>
      </c>
      <c r="K28" s="45" t="s">
        <v>161</v>
      </c>
      <c r="L28" s="45">
        <v>165</v>
      </c>
      <c r="M28" s="45" t="s">
        <v>161</v>
      </c>
      <c r="N28" s="45">
        <v>165</v>
      </c>
      <c r="O28" s="45" t="s">
        <v>161</v>
      </c>
      <c r="P28" s="45">
        <v>165</v>
      </c>
      <c r="Q28" s="45" t="s">
        <v>161</v>
      </c>
      <c r="R28" s="45">
        <v>165</v>
      </c>
      <c r="S28" s="45" t="s">
        <v>161</v>
      </c>
      <c r="T28" s="45">
        <v>165</v>
      </c>
      <c r="U28" s="45" t="s">
        <v>161</v>
      </c>
      <c r="V28" s="45">
        <v>165</v>
      </c>
      <c r="W28" s="45" t="s">
        <v>161</v>
      </c>
      <c r="X28" s="45">
        <v>165</v>
      </c>
      <c r="Y28" s="45" t="s">
        <v>161</v>
      </c>
      <c r="Z28" s="45">
        <v>165</v>
      </c>
      <c r="AA28" s="45" t="s">
        <v>161</v>
      </c>
      <c r="AB28" s="45">
        <v>165</v>
      </c>
    </row>
    <row r="29" spans="3:28" ht="15" customHeight="1" x14ac:dyDescent="0.55000000000000004"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51" t="s">
        <v>162</v>
      </c>
      <c r="P29" s="45">
        <v>200</v>
      </c>
      <c r="Q29" s="45" t="s">
        <v>162</v>
      </c>
      <c r="R29" s="45">
        <v>200</v>
      </c>
      <c r="S29" s="45" t="s">
        <v>162</v>
      </c>
      <c r="T29" s="45">
        <v>200</v>
      </c>
      <c r="U29" s="45" t="s">
        <v>162</v>
      </c>
      <c r="V29" s="45">
        <v>200</v>
      </c>
      <c r="W29" s="45" t="s">
        <v>162</v>
      </c>
      <c r="X29" s="45">
        <v>200</v>
      </c>
      <c r="Y29" s="45" t="s">
        <v>162</v>
      </c>
      <c r="Z29" s="45">
        <v>200</v>
      </c>
      <c r="AA29" s="45" t="s">
        <v>162</v>
      </c>
      <c r="AB29" s="45">
        <v>200</v>
      </c>
    </row>
    <row r="30" spans="3:28" ht="15" customHeight="1" x14ac:dyDescent="0.55000000000000004"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51" t="s">
        <v>163</v>
      </c>
      <c r="R30" s="45">
        <v>200</v>
      </c>
      <c r="S30" s="45" t="s">
        <v>163</v>
      </c>
      <c r="T30" s="45">
        <v>200</v>
      </c>
      <c r="U30" s="45" t="s">
        <v>163</v>
      </c>
      <c r="V30" s="45">
        <v>200</v>
      </c>
      <c r="W30" s="45" t="s">
        <v>163</v>
      </c>
      <c r="X30" s="45">
        <v>200</v>
      </c>
      <c r="Y30" s="45" t="s">
        <v>163</v>
      </c>
      <c r="Z30" s="45">
        <v>200</v>
      </c>
      <c r="AA30" s="45" t="s">
        <v>163</v>
      </c>
      <c r="AB30" s="45">
        <v>200</v>
      </c>
    </row>
    <row r="31" spans="3:28" ht="15" customHeight="1" x14ac:dyDescent="0.55000000000000004"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51" t="s">
        <v>164</v>
      </c>
      <c r="X31" s="45">
        <v>200</v>
      </c>
      <c r="Y31" s="45" t="s">
        <v>164</v>
      </c>
      <c r="Z31" s="45">
        <v>200</v>
      </c>
      <c r="AA31" s="45" t="s">
        <v>164</v>
      </c>
      <c r="AB31" s="45">
        <v>200</v>
      </c>
    </row>
    <row r="32" spans="3:28" ht="15" customHeight="1" x14ac:dyDescent="0.55000000000000004"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51" t="s">
        <v>165</v>
      </c>
      <c r="X32" s="45">
        <v>165</v>
      </c>
      <c r="Y32" s="45" t="s">
        <v>165</v>
      </c>
      <c r="Z32" s="45">
        <v>165</v>
      </c>
      <c r="AA32" s="45" t="s">
        <v>165</v>
      </c>
      <c r="AB32" s="45">
        <v>165</v>
      </c>
    </row>
    <row r="33" spans="3:28" ht="15" customHeight="1" x14ac:dyDescent="0.55000000000000004"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51" t="s">
        <v>166</v>
      </c>
      <c r="AB33" s="45">
        <v>200</v>
      </c>
    </row>
    <row r="34" spans="3:28" ht="15" customHeight="1" x14ac:dyDescent="0.55000000000000004"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51" t="s">
        <v>167</v>
      </c>
      <c r="AB34" s="45">
        <v>200</v>
      </c>
    </row>
    <row r="35" spans="3:28" ht="15" customHeight="1" x14ac:dyDescent="0.55000000000000004"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 spans="3:28" ht="15" customHeight="1" x14ac:dyDescent="0.55000000000000004">
      <c r="C36" s="45">
        <f>COUNTA(C12:C35)</f>
        <v>16</v>
      </c>
      <c r="D36" s="45">
        <f>SUM(D12:D35)</f>
        <v>2940</v>
      </c>
      <c r="E36" s="45">
        <f>COUNTA(E12:E35)</f>
        <v>16</v>
      </c>
      <c r="F36" s="45">
        <f>SUM(F12:F35)</f>
        <v>2940</v>
      </c>
      <c r="G36" s="45">
        <f>COUNTA(G12:G35)</f>
        <v>16</v>
      </c>
      <c r="H36" s="45">
        <f>SUM(H12:H35)</f>
        <v>2940</v>
      </c>
      <c r="I36" s="45">
        <f>COUNTA(I12:I35)</f>
        <v>15</v>
      </c>
      <c r="J36" s="45">
        <f>SUM(J12:J35)</f>
        <v>2705</v>
      </c>
      <c r="K36" s="45">
        <f>COUNTA(K12:K35)</f>
        <v>15</v>
      </c>
      <c r="L36" s="45">
        <f>SUM(L12:L35)</f>
        <v>2705</v>
      </c>
      <c r="M36" s="45">
        <f>COUNTA(M12:M35)</f>
        <v>15</v>
      </c>
      <c r="N36" s="45">
        <f>SUM(N12:N35)</f>
        <v>2705</v>
      </c>
      <c r="O36" s="45">
        <f>COUNTA(O12:O35)</f>
        <v>16</v>
      </c>
      <c r="P36" s="45">
        <f>SUM(P12:P35)</f>
        <v>2905</v>
      </c>
      <c r="Q36" s="45">
        <f>COUNTA(Q12:Q35)</f>
        <v>17</v>
      </c>
      <c r="R36" s="45">
        <f>SUM(R12:R35)</f>
        <v>3105</v>
      </c>
      <c r="S36" s="45">
        <f>COUNTA(S12:S35)</f>
        <v>17</v>
      </c>
      <c r="T36" s="45">
        <f>SUM(T12:T35)</f>
        <v>3105</v>
      </c>
      <c r="U36" s="45">
        <f>COUNTA(U12:U35)</f>
        <v>17</v>
      </c>
      <c r="V36" s="45">
        <f>SUM(V12:V35)</f>
        <v>3105</v>
      </c>
      <c r="W36" s="45">
        <f>COUNTA(W12:W35)</f>
        <v>19</v>
      </c>
      <c r="X36" s="45">
        <f>SUM(X12:X35)</f>
        <v>3470</v>
      </c>
      <c r="Y36" s="45">
        <f>COUNTA(Y12:Y35)</f>
        <v>19</v>
      </c>
      <c r="Z36" s="45">
        <f>SUM(Z12:Z35)</f>
        <v>3470</v>
      </c>
      <c r="AA36" s="45">
        <f>COUNTA(AA12:AA35)</f>
        <v>21</v>
      </c>
      <c r="AB36" s="45">
        <f>SUM(AB12:AB35)</f>
        <v>3870</v>
      </c>
    </row>
    <row r="37" spans="3:28" ht="15" customHeight="1" x14ac:dyDescent="0.55000000000000004"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</row>
    <row r="38" spans="3:28" ht="15.5" customHeight="1" x14ac:dyDescent="0.55000000000000004">
      <c r="C38" s="26" t="s">
        <v>175</v>
      </c>
      <c r="D38" s="47"/>
      <c r="E38" s="46"/>
      <c r="F38" s="47"/>
      <c r="G38" s="46"/>
      <c r="H38" s="47"/>
      <c r="I38" s="46"/>
      <c r="J38" s="47"/>
      <c r="K38" s="46"/>
      <c r="L38" s="47"/>
      <c r="M38" s="46"/>
      <c r="N38" s="47"/>
      <c r="O38" s="46"/>
      <c r="P38" s="47"/>
      <c r="Q38" s="46"/>
      <c r="R38" s="47"/>
      <c r="S38" s="46"/>
      <c r="T38" s="47"/>
      <c r="U38" s="46"/>
      <c r="V38" s="47"/>
      <c r="W38" s="46"/>
      <c r="X38" s="47"/>
      <c r="Y38" s="46"/>
      <c r="Z38" s="47"/>
      <c r="AA38" s="46"/>
      <c r="AB38" s="47"/>
    </row>
    <row r="39" spans="3:28" ht="15" customHeight="1" x14ac:dyDescent="0.55000000000000004">
      <c r="C39" s="253" t="s">
        <v>4</v>
      </c>
      <c r="D39" s="260"/>
      <c r="E39" s="253" t="s">
        <v>5</v>
      </c>
      <c r="F39" s="260"/>
      <c r="G39" s="253" t="s">
        <v>6</v>
      </c>
      <c r="H39" s="260"/>
      <c r="I39" s="253" t="s">
        <v>7</v>
      </c>
      <c r="J39" s="260"/>
      <c r="K39" s="253" t="s">
        <v>8</v>
      </c>
      <c r="L39" s="260"/>
      <c r="M39" s="253" t="s">
        <v>10</v>
      </c>
      <c r="N39" s="260"/>
      <c r="O39" s="253" t="s">
        <v>11</v>
      </c>
      <c r="P39" s="260"/>
      <c r="Q39" s="253" t="s">
        <v>12</v>
      </c>
      <c r="R39" s="260"/>
      <c r="S39" s="253" t="s">
        <v>13</v>
      </c>
      <c r="T39" s="260"/>
      <c r="U39" s="253" t="s">
        <v>14</v>
      </c>
      <c r="V39" s="260"/>
      <c r="W39" s="253" t="s">
        <v>15</v>
      </c>
      <c r="X39" s="260"/>
      <c r="Y39" s="253" t="s">
        <v>16</v>
      </c>
      <c r="Z39" s="260"/>
      <c r="AA39" s="253" t="s">
        <v>4</v>
      </c>
      <c r="AB39" s="260"/>
    </row>
    <row r="40" spans="3:28" ht="15" customHeight="1" x14ac:dyDescent="0.55000000000000004">
      <c r="C40" s="45" t="s">
        <v>163</v>
      </c>
      <c r="D40" s="45">
        <v>200</v>
      </c>
      <c r="E40" s="51" t="s">
        <v>161</v>
      </c>
      <c r="F40" s="45">
        <v>165</v>
      </c>
      <c r="G40" s="45" t="s">
        <v>161</v>
      </c>
      <c r="H40" s="45">
        <v>165</v>
      </c>
      <c r="I40" s="45" t="s">
        <v>162</v>
      </c>
      <c r="J40" s="45">
        <v>200</v>
      </c>
      <c r="K40" s="45" t="s">
        <v>162</v>
      </c>
      <c r="L40" s="45">
        <v>200</v>
      </c>
      <c r="M40" s="45" t="s">
        <v>162</v>
      </c>
      <c r="N40" s="45">
        <v>200</v>
      </c>
      <c r="O40" s="45" t="s">
        <v>163</v>
      </c>
      <c r="P40" s="45">
        <v>200</v>
      </c>
      <c r="Q40" s="45" t="s">
        <v>164</v>
      </c>
      <c r="R40" s="45">
        <v>200</v>
      </c>
      <c r="S40" s="45" t="s">
        <v>164</v>
      </c>
      <c r="T40" s="45">
        <v>200</v>
      </c>
      <c r="U40" s="45" t="s">
        <v>164</v>
      </c>
      <c r="V40" s="45">
        <v>200</v>
      </c>
      <c r="W40" s="45" t="s">
        <v>166</v>
      </c>
      <c r="X40" s="45">
        <v>200</v>
      </c>
      <c r="Y40" s="45" t="s">
        <v>166</v>
      </c>
      <c r="Z40" s="45">
        <v>200</v>
      </c>
      <c r="AA40" s="45"/>
      <c r="AB40" s="45"/>
    </row>
    <row r="41" spans="3:28" ht="15" customHeight="1" x14ac:dyDescent="0.55000000000000004">
      <c r="C41" s="45"/>
      <c r="D41" s="45"/>
      <c r="E41" s="51" t="s">
        <v>163</v>
      </c>
      <c r="F41" s="45">
        <v>200</v>
      </c>
      <c r="G41" s="51" t="s">
        <v>162</v>
      </c>
      <c r="H41" s="45">
        <v>200</v>
      </c>
      <c r="I41" s="45" t="s">
        <v>163</v>
      </c>
      <c r="J41" s="45">
        <v>200</v>
      </c>
      <c r="K41" s="45" t="s">
        <v>163</v>
      </c>
      <c r="L41" s="45">
        <v>200</v>
      </c>
      <c r="M41" s="45" t="s">
        <v>163</v>
      </c>
      <c r="N41" s="45">
        <v>200</v>
      </c>
      <c r="O41" s="45" t="s">
        <v>164</v>
      </c>
      <c r="P41" s="45">
        <v>200</v>
      </c>
      <c r="Q41" s="45" t="s">
        <v>165</v>
      </c>
      <c r="R41" s="45">
        <v>165</v>
      </c>
      <c r="S41" s="45" t="s">
        <v>165</v>
      </c>
      <c r="T41" s="45">
        <v>165</v>
      </c>
      <c r="U41" s="45" t="s">
        <v>165</v>
      </c>
      <c r="V41" s="45">
        <v>165</v>
      </c>
      <c r="W41" s="45" t="s">
        <v>167</v>
      </c>
      <c r="X41" s="45">
        <v>200</v>
      </c>
      <c r="Y41" s="45" t="s">
        <v>167</v>
      </c>
      <c r="Z41" s="45">
        <v>200</v>
      </c>
      <c r="AA41" s="45"/>
      <c r="AB41" s="45"/>
    </row>
    <row r="42" spans="3:28" ht="15" customHeight="1" x14ac:dyDescent="0.55000000000000004">
      <c r="C42" s="45"/>
      <c r="D42" s="45"/>
      <c r="E42" s="51" t="s">
        <v>164</v>
      </c>
      <c r="F42" s="45">
        <v>200</v>
      </c>
      <c r="G42" s="45" t="s">
        <v>163</v>
      </c>
      <c r="H42" s="45">
        <v>200</v>
      </c>
      <c r="I42" s="45" t="s">
        <v>164</v>
      </c>
      <c r="J42" s="45">
        <v>200</v>
      </c>
      <c r="K42" s="45" t="s">
        <v>164</v>
      </c>
      <c r="L42" s="45">
        <v>200</v>
      </c>
      <c r="M42" s="45" t="s">
        <v>164</v>
      </c>
      <c r="N42" s="45">
        <v>200</v>
      </c>
      <c r="O42" s="45" t="s">
        <v>165</v>
      </c>
      <c r="P42" s="45">
        <v>165</v>
      </c>
      <c r="Q42" s="45" t="s">
        <v>166</v>
      </c>
      <c r="R42" s="45">
        <v>200</v>
      </c>
      <c r="S42" s="45" t="s">
        <v>166</v>
      </c>
      <c r="T42" s="45">
        <v>200</v>
      </c>
      <c r="U42" s="45" t="s">
        <v>166</v>
      </c>
      <c r="V42" s="45">
        <v>200</v>
      </c>
      <c r="W42" s="45"/>
      <c r="X42" s="45"/>
      <c r="Y42" s="45"/>
      <c r="Z42" s="45"/>
      <c r="AA42" s="45"/>
      <c r="AB42" s="45"/>
    </row>
    <row r="43" spans="3:28" ht="15" customHeight="1" x14ac:dyDescent="0.55000000000000004">
      <c r="C43" s="45"/>
      <c r="D43" s="45"/>
      <c r="E43" s="51" t="s">
        <v>165</v>
      </c>
      <c r="F43" s="45">
        <v>165</v>
      </c>
      <c r="G43" s="45" t="s">
        <v>164</v>
      </c>
      <c r="H43" s="45">
        <v>165</v>
      </c>
      <c r="I43" s="45" t="s">
        <v>165</v>
      </c>
      <c r="J43" s="45">
        <v>165</v>
      </c>
      <c r="K43" s="45" t="s">
        <v>165</v>
      </c>
      <c r="L43" s="45">
        <v>165</v>
      </c>
      <c r="M43" s="45" t="s">
        <v>165</v>
      </c>
      <c r="N43" s="45">
        <v>165</v>
      </c>
      <c r="O43" s="45" t="s">
        <v>166</v>
      </c>
      <c r="P43" s="45">
        <v>200</v>
      </c>
      <c r="Q43" s="45" t="s">
        <v>167</v>
      </c>
      <c r="R43" s="45">
        <v>200</v>
      </c>
      <c r="S43" s="45" t="s">
        <v>167</v>
      </c>
      <c r="T43" s="45">
        <v>200</v>
      </c>
      <c r="U43" s="45" t="s">
        <v>167</v>
      </c>
      <c r="V43" s="45">
        <v>200</v>
      </c>
      <c r="W43" s="45"/>
      <c r="X43" s="45"/>
      <c r="Y43" s="45"/>
      <c r="Z43" s="45"/>
      <c r="AA43" s="45"/>
      <c r="AB43" s="45"/>
    </row>
    <row r="44" spans="3:28" ht="15" customHeight="1" x14ac:dyDescent="0.55000000000000004">
      <c r="C44" s="45"/>
      <c r="D44" s="45"/>
      <c r="G44" s="45" t="s">
        <v>165</v>
      </c>
      <c r="H44" s="45">
        <v>200</v>
      </c>
      <c r="I44" s="45"/>
      <c r="J44" s="45"/>
      <c r="K44" s="51" t="s">
        <v>166</v>
      </c>
      <c r="L44" s="45">
        <v>200</v>
      </c>
      <c r="M44" s="45" t="s">
        <v>166</v>
      </c>
      <c r="N44" s="45">
        <v>200</v>
      </c>
      <c r="O44" s="45" t="s">
        <v>167</v>
      </c>
      <c r="P44" s="45">
        <v>200</v>
      </c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 spans="3:28" ht="15" customHeight="1" x14ac:dyDescent="0.55000000000000004">
      <c r="C45" s="45"/>
      <c r="D45" s="45"/>
      <c r="E45" s="45"/>
      <c r="F45" s="45"/>
      <c r="G45" s="45"/>
      <c r="H45" s="45"/>
      <c r="I45" s="45"/>
      <c r="J45" s="45"/>
      <c r="K45" s="51" t="s">
        <v>171</v>
      </c>
      <c r="L45" s="45">
        <v>200</v>
      </c>
      <c r="M45" s="45" t="s">
        <v>167</v>
      </c>
      <c r="N45" s="45">
        <v>200</v>
      </c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</row>
    <row r="46" spans="3:28" ht="15" customHeight="1" x14ac:dyDescent="0.55000000000000004"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</row>
    <row r="47" spans="3:28" ht="15" customHeight="1" x14ac:dyDescent="0.55000000000000004">
      <c r="C47" s="45">
        <f>COUNTA(C40:C46)</f>
        <v>1</v>
      </c>
      <c r="D47" s="45"/>
      <c r="E47" s="45">
        <f>COUNTA(E40:E46)</f>
        <v>4</v>
      </c>
      <c r="F47" s="45"/>
      <c r="G47" s="45">
        <f>COUNTA(G40:G46)</f>
        <v>5</v>
      </c>
      <c r="H47" s="45"/>
      <c r="I47" s="45">
        <f>COUNTA(I40:I46)</f>
        <v>4</v>
      </c>
      <c r="J47" s="45"/>
      <c r="K47" s="45">
        <f>COUNTA(K40:K46)</f>
        <v>6</v>
      </c>
      <c r="L47" s="45"/>
      <c r="M47" s="45">
        <f>COUNTA(M40:M46)</f>
        <v>6</v>
      </c>
      <c r="N47" s="45"/>
      <c r="O47" s="45">
        <f>COUNTA(O40:O46)</f>
        <v>5</v>
      </c>
      <c r="P47" s="45"/>
      <c r="Q47" s="45">
        <f>COUNTA(Q40:Q46)</f>
        <v>4</v>
      </c>
      <c r="R47" s="45"/>
      <c r="S47" s="45">
        <f>COUNTA(S40:S46)</f>
        <v>4</v>
      </c>
      <c r="T47" s="45"/>
      <c r="U47" s="45">
        <f>COUNTA(U40:U46)</f>
        <v>4</v>
      </c>
      <c r="V47" s="45"/>
      <c r="W47" s="45">
        <f>COUNTA(W40:W46)</f>
        <v>2</v>
      </c>
      <c r="X47" s="45"/>
      <c r="Y47" s="45">
        <f>COUNTA(Y40:Y46)</f>
        <v>2</v>
      </c>
      <c r="Z47" s="45"/>
      <c r="AA47" s="45">
        <f>COUNTA(AA40:AA46)</f>
        <v>0</v>
      </c>
      <c r="AB47" s="45"/>
    </row>
    <row r="48" spans="3:28" ht="10.5" customHeight="1" x14ac:dyDescent="0.55000000000000004"/>
    <row r="49" spans="1:55" ht="12.5" customHeight="1" x14ac:dyDescent="0.55000000000000004">
      <c r="U49" s="27" t="s">
        <v>172</v>
      </c>
      <c r="V49" s="27"/>
      <c r="W49" s="27"/>
      <c r="X49" s="27"/>
      <c r="Y49" s="27"/>
      <c r="Z49" s="27"/>
      <c r="AA49" s="27"/>
      <c r="AB49" s="27"/>
    </row>
    <row r="50" spans="1:55" ht="12.5" customHeight="1" x14ac:dyDescent="0.55000000000000004">
      <c r="U50" s="27"/>
      <c r="V50" s="27"/>
      <c r="W50" s="27"/>
      <c r="X50" s="27"/>
      <c r="Y50" s="27"/>
      <c r="Z50" s="27"/>
      <c r="AA50" s="27"/>
      <c r="AB50" s="27"/>
    </row>
    <row r="51" spans="1:55" x14ac:dyDescent="0.55000000000000004">
      <c r="A51" s="43" t="s">
        <v>176</v>
      </c>
    </row>
    <row r="52" spans="1:55" x14ac:dyDescent="0.55000000000000004">
      <c r="A52" s="261"/>
      <c r="B52" s="261"/>
      <c r="C52" s="262" t="s">
        <v>4</v>
      </c>
      <c r="D52" s="263"/>
      <c r="E52" s="262" t="s">
        <v>5</v>
      </c>
      <c r="F52" s="263"/>
      <c r="G52" s="262" t="s">
        <v>6</v>
      </c>
      <c r="H52" s="263"/>
      <c r="I52" s="262" t="s">
        <v>7</v>
      </c>
      <c r="J52" s="263"/>
      <c r="K52" s="262" t="s">
        <v>8</v>
      </c>
      <c r="L52" s="263"/>
      <c r="M52" s="262" t="s">
        <v>10</v>
      </c>
      <c r="N52" s="263"/>
      <c r="O52" s="262" t="s">
        <v>11</v>
      </c>
      <c r="P52" s="263"/>
      <c r="Q52" s="262" t="s">
        <v>12</v>
      </c>
      <c r="R52" s="263"/>
      <c r="S52" s="262" t="s">
        <v>13</v>
      </c>
      <c r="T52" s="263"/>
      <c r="U52" s="262" t="s">
        <v>14</v>
      </c>
      <c r="V52" s="263"/>
      <c r="W52" s="262" t="s">
        <v>15</v>
      </c>
      <c r="X52" s="263"/>
      <c r="Y52" s="262" t="s">
        <v>16</v>
      </c>
      <c r="Z52" s="263"/>
      <c r="AA52" s="262" t="s">
        <v>4</v>
      </c>
      <c r="AB52" s="263"/>
    </row>
    <row r="53" spans="1:55" ht="18.5" thickBot="1" x14ac:dyDescent="0.6">
      <c r="A53" s="255" t="s">
        <v>153</v>
      </c>
      <c r="B53" s="255"/>
      <c r="C53" s="264">
        <v>23</v>
      </c>
      <c r="D53" s="265"/>
      <c r="E53" s="264">
        <v>23</v>
      </c>
      <c r="F53" s="265"/>
      <c r="G53" s="264">
        <v>23</v>
      </c>
      <c r="H53" s="265"/>
      <c r="I53" s="264">
        <v>23</v>
      </c>
      <c r="J53" s="265"/>
      <c r="K53" s="264">
        <v>24</v>
      </c>
      <c r="L53" s="265"/>
      <c r="M53" s="264">
        <v>24</v>
      </c>
      <c r="N53" s="265"/>
      <c r="O53" s="264">
        <v>25</v>
      </c>
      <c r="P53" s="265"/>
      <c r="Q53" s="264">
        <v>25</v>
      </c>
      <c r="R53" s="265"/>
      <c r="S53" s="264">
        <v>26</v>
      </c>
      <c r="T53" s="265"/>
      <c r="U53" s="264">
        <v>26</v>
      </c>
      <c r="V53" s="265"/>
      <c r="W53" s="264">
        <v>28</v>
      </c>
      <c r="X53" s="265"/>
      <c r="Y53" s="264">
        <v>28</v>
      </c>
      <c r="Z53" s="265"/>
      <c r="AA53" s="264">
        <v>28</v>
      </c>
      <c r="AB53" s="265"/>
    </row>
    <row r="54" spans="1:55" ht="18.5" thickBot="1" x14ac:dyDescent="0.6">
      <c r="A54" s="256" t="s">
        <v>177</v>
      </c>
      <c r="B54" s="257"/>
      <c r="C54" s="266">
        <f>C92</f>
        <v>14</v>
      </c>
      <c r="D54" s="267"/>
      <c r="E54" s="266">
        <f>E92</f>
        <v>18</v>
      </c>
      <c r="F54" s="267"/>
      <c r="G54" s="266">
        <f>G92</f>
        <v>19</v>
      </c>
      <c r="H54" s="267"/>
      <c r="I54" s="266">
        <f>I92</f>
        <v>19</v>
      </c>
      <c r="J54" s="267"/>
      <c r="K54" s="266">
        <f>K92</f>
        <v>30</v>
      </c>
      <c r="L54" s="267"/>
      <c r="M54" s="266">
        <f>M92</f>
        <v>30</v>
      </c>
      <c r="N54" s="267"/>
      <c r="O54" s="266">
        <f>O92</f>
        <v>30</v>
      </c>
      <c r="P54" s="267"/>
      <c r="Q54" s="266">
        <f>Q92</f>
        <v>29</v>
      </c>
      <c r="R54" s="267"/>
      <c r="S54" s="266">
        <f>S92</f>
        <v>29</v>
      </c>
      <c r="T54" s="267"/>
      <c r="U54" s="266">
        <f>U92</f>
        <v>29</v>
      </c>
      <c r="V54" s="267"/>
      <c r="W54" s="266">
        <f>W92</f>
        <v>29</v>
      </c>
      <c r="X54" s="267"/>
      <c r="Y54" s="266">
        <f>Y92</f>
        <v>27</v>
      </c>
      <c r="Z54" s="267"/>
      <c r="AA54" s="266">
        <f>AA92</f>
        <v>25</v>
      </c>
      <c r="AB54" s="276"/>
    </row>
    <row r="55" spans="1:55" x14ac:dyDescent="0.55000000000000004">
      <c r="A55" s="258" t="s">
        <v>169</v>
      </c>
      <c r="B55" s="258"/>
      <c r="C55" s="277">
        <f>C54-C53</f>
        <v>-9</v>
      </c>
      <c r="D55" s="278"/>
      <c r="E55" s="277">
        <f>E54-E53</f>
        <v>-5</v>
      </c>
      <c r="F55" s="278"/>
      <c r="G55" s="277">
        <f>G54-G53</f>
        <v>-4</v>
      </c>
      <c r="H55" s="278"/>
      <c r="I55" s="277">
        <f>I54-I53</f>
        <v>-4</v>
      </c>
      <c r="J55" s="278"/>
      <c r="K55" s="277">
        <f>K54-K53</f>
        <v>6</v>
      </c>
      <c r="L55" s="278"/>
      <c r="M55" s="277">
        <f>M54-M53</f>
        <v>6</v>
      </c>
      <c r="N55" s="278"/>
      <c r="O55" s="277">
        <f>O54-O53</f>
        <v>5</v>
      </c>
      <c r="P55" s="278"/>
      <c r="Q55" s="277">
        <f>Q54-Q53</f>
        <v>4</v>
      </c>
      <c r="R55" s="278"/>
      <c r="S55" s="277">
        <f>S54-S53</f>
        <v>3</v>
      </c>
      <c r="T55" s="278"/>
      <c r="U55" s="277">
        <f>U54-U53</f>
        <v>3</v>
      </c>
      <c r="V55" s="278"/>
      <c r="W55" s="277">
        <f>W54-W53</f>
        <v>1</v>
      </c>
      <c r="X55" s="278"/>
      <c r="Y55" s="277">
        <f>Y54-Y53</f>
        <v>-1</v>
      </c>
      <c r="Z55" s="278"/>
      <c r="AA55" s="277">
        <f>AA54-AA53</f>
        <v>-3</v>
      </c>
      <c r="AB55" s="278"/>
    </row>
    <row r="56" spans="1:55" x14ac:dyDescent="0.55000000000000004">
      <c r="A56" s="259" t="s">
        <v>17</v>
      </c>
      <c r="B56" s="259"/>
      <c r="C56" s="270">
        <f>D92</f>
        <v>2665</v>
      </c>
      <c r="D56" s="271"/>
      <c r="E56" s="270">
        <f>F92</f>
        <v>3395</v>
      </c>
      <c r="F56" s="271"/>
      <c r="G56" s="270">
        <f>H92</f>
        <v>3595</v>
      </c>
      <c r="H56" s="271"/>
      <c r="I56" s="270">
        <f>J92</f>
        <v>3595</v>
      </c>
      <c r="J56" s="271"/>
      <c r="K56" s="270">
        <f>L92</f>
        <v>4810</v>
      </c>
      <c r="L56" s="271"/>
      <c r="M56" s="270">
        <f>N92</f>
        <v>4810</v>
      </c>
      <c r="N56" s="271"/>
      <c r="O56" s="270">
        <f>P92</f>
        <v>5310</v>
      </c>
      <c r="P56" s="271"/>
      <c r="Q56" s="270">
        <f>R92</f>
        <v>5110</v>
      </c>
      <c r="R56" s="271"/>
      <c r="S56" s="270">
        <f>T92</f>
        <v>5110</v>
      </c>
      <c r="T56" s="271"/>
      <c r="U56" s="270">
        <f>V92</f>
        <v>5110</v>
      </c>
      <c r="V56" s="271"/>
      <c r="W56" s="270">
        <f>X92</f>
        <v>4925</v>
      </c>
      <c r="X56" s="271"/>
      <c r="Y56" s="270">
        <f>Z92</f>
        <v>4745</v>
      </c>
      <c r="Z56" s="271"/>
      <c r="AA56" s="270">
        <f>AB92</f>
        <v>4345</v>
      </c>
      <c r="AB56" s="271"/>
    </row>
    <row r="57" spans="1:55" ht="28.5" customHeight="1" x14ac:dyDescent="0.55000000000000004">
      <c r="C57" s="54" t="s">
        <v>207</v>
      </c>
      <c r="I57" s="53"/>
      <c r="J57" s="52"/>
      <c r="K57" s="54" t="s">
        <v>203</v>
      </c>
    </row>
    <row r="58" spans="1:55" x14ac:dyDescent="0.55000000000000004">
      <c r="C58" s="26" t="s">
        <v>174</v>
      </c>
    </row>
    <row r="59" spans="1:55" ht="15" customHeight="1" x14ac:dyDescent="0.55000000000000004">
      <c r="C59" s="253" t="s">
        <v>4</v>
      </c>
      <c r="D59" s="254"/>
      <c r="E59" s="253" t="s">
        <v>5</v>
      </c>
      <c r="F59" s="254"/>
      <c r="G59" s="253" t="s">
        <v>6</v>
      </c>
      <c r="H59" s="254"/>
      <c r="I59" s="253" t="s">
        <v>7</v>
      </c>
      <c r="J59" s="254"/>
      <c r="K59" s="253" t="s">
        <v>8</v>
      </c>
      <c r="L59" s="254"/>
      <c r="M59" s="253" t="s">
        <v>10</v>
      </c>
      <c r="N59" s="254"/>
      <c r="O59" s="253" t="s">
        <v>11</v>
      </c>
      <c r="P59" s="254"/>
      <c r="Q59" s="253" t="s">
        <v>12</v>
      </c>
      <c r="R59" s="254"/>
      <c r="S59" s="253" t="s">
        <v>13</v>
      </c>
      <c r="T59" s="254"/>
      <c r="U59" s="253" t="s">
        <v>14</v>
      </c>
      <c r="V59" s="254"/>
      <c r="W59" s="253" t="s">
        <v>15</v>
      </c>
      <c r="X59" s="254"/>
      <c r="Y59" s="253" t="s">
        <v>16</v>
      </c>
      <c r="Z59" s="254"/>
      <c r="AA59" s="253" t="s">
        <v>4</v>
      </c>
      <c r="AB59" s="254"/>
    </row>
    <row r="60" spans="1:55" ht="15" customHeight="1" x14ac:dyDescent="0.55000000000000004">
      <c r="C60" s="45" t="s">
        <v>178</v>
      </c>
      <c r="D60" s="50">
        <v>200</v>
      </c>
      <c r="E60" s="45" t="s">
        <v>178</v>
      </c>
      <c r="F60" s="50">
        <v>200</v>
      </c>
      <c r="G60" s="45" t="s">
        <v>178</v>
      </c>
      <c r="H60" s="50">
        <v>200</v>
      </c>
      <c r="I60" s="45" t="s">
        <v>178</v>
      </c>
      <c r="J60" s="50">
        <v>200</v>
      </c>
      <c r="K60" s="45" t="s">
        <v>178</v>
      </c>
      <c r="L60" s="50">
        <v>200</v>
      </c>
      <c r="M60" s="45" t="s">
        <v>178</v>
      </c>
      <c r="N60" s="50">
        <v>200</v>
      </c>
      <c r="O60" s="45" t="s">
        <v>178</v>
      </c>
      <c r="P60" s="50">
        <v>200</v>
      </c>
      <c r="Q60" s="45" t="s">
        <v>178</v>
      </c>
      <c r="R60" s="50">
        <v>200</v>
      </c>
      <c r="S60" s="45" t="s">
        <v>178</v>
      </c>
      <c r="T60" s="50">
        <v>200</v>
      </c>
      <c r="U60" s="45" t="s">
        <v>178</v>
      </c>
      <c r="V60" s="50">
        <v>200</v>
      </c>
      <c r="W60" s="45" t="s">
        <v>178</v>
      </c>
      <c r="X60" s="50">
        <v>200</v>
      </c>
      <c r="Y60" s="45" t="s">
        <v>178</v>
      </c>
      <c r="Z60" s="50">
        <v>200</v>
      </c>
      <c r="AA60" s="45" t="s">
        <v>178</v>
      </c>
      <c r="AB60" s="50">
        <v>200</v>
      </c>
    </row>
    <row r="61" spans="1:55" ht="15" customHeight="1" x14ac:dyDescent="0.55000000000000004">
      <c r="C61" s="49" t="s">
        <v>179</v>
      </c>
      <c r="D61" s="50">
        <v>200</v>
      </c>
      <c r="E61" s="49" t="s">
        <v>179</v>
      </c>
      <c r="F61" s="50">
        <v>200</v>
      </c>
      <c r="G61" s="49" t="s">
        <v>179</v>
      </c>
      <c r="H61" s="50">
        <v>200</v>
      </c>
      <c r="I61" s="49" t="s">
        <v>179</v>
      </c>
      <c r="J61" s="50">
        <v>200</v>
      </c>
      <c r="K61" s="49" t="s">
        <v>179</v>
      </c>
      <c r="L61" s="50">
        <v>200</v>
      </c>
      <c r="M61" s="49" t="s">
        <v>179</v>
      </c>
      <c r="N61" s="50">
        <v>200</v>
      </c>
      <c r="O61" s="49" t="s">
        <v>179</v>
      </c>
      <c r="P61" s="50">
        <v>200</v>
      </c>
      <c r="Q61" s="49" t="s">
        <v>179</v>
      </c>
      <c r="R61" s="50">
        <v>200</v>
      </c>
      <c r="S61" s="49" t="s">
        <v>179</v>
      </c>
      <c r="T61" s="50">
        <v>200</v>
      </c>
      <c r="U61" s="49" t="s">
        <v>179</v>
      </c>
      <c r="V61" s="50">
        <v>200</v>
      </c>
      <c r="W61" s="49" t="s">
        <v>179</v>
      </c>
      <c r="X61" s="50">
        <v>200</v>
      </c>
      <c r="Y61" s="49" t="s">
        <v>179</v>
      </c>
      <c r="Z61" s="50">
        <v>200</v>
      </c>
      <c r="AA61" s="49" t="s">
        <v>179</v>
      </c>
      <c r="AB61" s="50">
        <v>200</v>
      </c>
    </row>
    <row r="62" spans="1:55" ht="15" customHeight="1" x14ac:dyDescent="0.55000000000000004">
      <c r="C62" s="45" t="s">
        <v>180</v>
      </c>
      <c r="D62" s="50">
        <v>165</v>
      </c>
      <c r="E62" s="45" t="s">
        <v>180</v>
      </c>
      <c r="F62" s="50">
        <v>165</v>
      </c>
      <c r="G62" s="45" t="s">
        <v>180</v>
      </c>
      <c r="H62" s="50">
        <v>165</v>
      </c>
      <c r="I62" s="45" t="s">
        <v>180</v>
      </c>
      <c r="J62" s="50">
        <v>165</v>
      </c>
      <c r="K62" s="45" t="s">
        <v>180</v>
      </c>
      <c r="L62" s="50">
        <v>165</v>
      </c>
      <c r="M62" s="45" t="s">
        <v>180</v>
      </c>
      <c r="N62" s="50">
        <v>165</v>
      </c>
      <c r="O62" s="45" t="s">
        <v>180</v>
      </c>
      <c r="P62" s="50">
        <v>165</v>
      </c>
      <c r="Q62" s="45" t="s">
        <v>180</v>
      </c>
      <c r="R62" s="50">
        <v>165</v>
      </c>
      <c r="S62" s="45" t="s">
        <v>180</v>
      </c>
      <c r="T62" s="50">
        <v>165</v>
      </c>
      <c r="U62" s="45" t="s">
        <v>180</v>
      </c>
      <c r="V62" s="50">
        <v>165</v>
      </c>
      <c r="W62" s="45" t="s">
        <v>180</v>
      </c>
      <c r="X62" s="50">
        <v>165</v>
      </c>
      <c r="Y62" s="45" t="s">
        <v>180</v>
      </c>
      <c r="Z62" s="50">
        <v>165</v>
      </c>
      <c r="AA62" s="45" t="s">
        <v>180</v>
      </c>
      <c r="AB62" s="50">
        <v>165</v>
      </c>
      <c r="AD62" s="253" t="s">
        <v>4</v>
      </c>
      <c r="AE62" s="254"/>
      <c r="AF62" s="253" t="s">
        <v>5</v>
      </c>
      <c r="AG62" s="254"/>
      <c r="AH62" s="253" t="s">
        <v>6</v>
      </c>
      <c r="AI62" s="254"/>
      <c r="AJ62" s="253" t="s">
        <v>7</v>
      </c>
      <c r="AK62" s="254"/>
      <c r="AL62" s="253" t="s">
        <v>8</v>
      </c>
      <c r="AM62" s="254"/>
      <c r="AN62" s="253" t="s">
        <v>10</v>
      </c>
      <c r="AO62" s="254"/>
      <c r="AP62" s="253" t="s">
        <v>11</v>
      </c>
      <c r="AQ62" s="254"/>
      <c r="AR62" s="253" t="s">
        <v>12</v>
      </c>
      <c r="AS62" s="254"/>
      <c r="AT62" s="253" t="s">
        <v>13</v>
      </c>
      <c r="AU62" s="254"/>
      <c r="AV62" s="253" t="s">
        <v>14</v>
      </c>
      <c r="AW62" s="254"/>
      <c r="AX62" s="253" t="s">
        <v>15</v>
      </c>
      <c r="AY62" s="254"/>
      <c r="AZ62" s="253" t="s">
        <v>16</v>
      </c>
      <c r="BA62" s="254"/>
      <c r="BB62" s="253" t="s">
        <v>4</v>
      </c>
      <c r="BC62" s="254"/>
    </row>
    <row r="63" spans="1:55" ht="15" customHeight="1" x14ac:dyDescent="0.55000000000000004">
      <c r="C63" s="45" t="s">
        <v>181</v>
      </c>
      <c r="D63" s="50">
        <v>165</v>
      </c>
      <c r="E63" s="45" t="s">
        <v>181</v>
      </c>
      <c r="F63" s="50">
        <v>165</v>
      </c>
      <c r="G63" s="45" t="s">
        <v>181</v>
      </c>
      <c r="H63" s="50">
        <v>165</v>
      </c>
      <c r="I63" s="45" t="s">
        <v>181</v>
      </c>
      <c r="J63" s="50">
        <v>165</v>
      </c>
      <c r="K63" s="45" t="s">
        <v>181</v>
      </c>
      <c r="L63" s="50">
        <v>165</v>
      </c>
      <c r="M63" s="45" t="s">
        <v>181</v>
      </c>
      <c r="N63" s="50">
        <v>165</v>
      </c>
      <c r="O63" s="45" t="s">
        <v>181</v>
      </c>
      <c r="P63" s="50">
        <v>165</v>
      </c>
      <c r="Q63" s="45" t="s">
        <v>181</v>
      </c>
      <c r="R63" s="50">
        <v>165</v>
      </c>
      <c r="S63" s="45" t="s">
        <v>181</v>
      </c>
      <c r="T63" s="50">
        <v>165</v>
      </c>
      <c r="U63" s="45" t="s">
        <v>181</v>
      </c>
      <c r="V63" s="50">
        <v>165</v>
      </c>
      <c r="W63" s="45" t="s">
        <v>181</v>
      </c>
      <c r="X63" s="50">
        <v>165</v>
      </c>
      <c r="Y63" s="45" t="s">
        <v>181</v>
      </c>
      <c r="Z63" s="50">
        <v>165</v>
      </c>
      <c r="AA63" s="45" t="s">
        <v>181</v>
      </c>
      <c r="AB63" s="50">
        <v>165</v>
      </c>
      <c r="AD63" s="45" t="s">
        <v>178</v>
      </c>
      <c r="AE63" s="50">
        <v>200</v>
      </c>
      <c r="AF63" s="45" t="s">
        <v>178</v>
      </c>
      <c r="AG63" s="50">
        <v>200</v>
      </c>
      <c r="AH63" s="45" t="s">
        <v>178</v>
      </c>
      <c r="AI63" s="50">
        <v>200</v>
      </c>
      <c r="AJ63" s="45" t="s">
        <v>178</v>
      </c>
      <c r="AK63" s="50">
        <v>200</v>
      </c>
      <c r="AL63" s="45" t="s">
        <v>178</v>
      </c>
      <c r="AM63" s="50">
        <v>200</v>
      </c>
      <c r="AN63" s="45" t="s">
        <v>178</v>
      </c>
      <c r="AO63" s="50">
        <v>200</v>
      </c>
      <c r="AP63" s="45" t="s">
        <v>178</v>
      </c>
      <c r="AQ63" s="50">
        <v>200</v>
      </c>
      <c r="AR63" s="45" t="s">
        <v>178</v>
      </c>
      <c r="AS63" s="50">
        <v>200</v>
      </c>
      <c r="AT63" s="45" t="s">
        <v>178</v>
      </c>
      <c r="AU63" s="50">
        <v>200</v>
      </c>
      <c r="AV63" s="45" t="s">
        <v>178</v>
      </c>
      <c r="AW63" s="50">
        <v>200</v>
      </c>
      <c r="AX63" s="45" t="s">
        <v>178</v>
      </c>
      <c r="AY63" s="50">
        <v>200</v>
      </c>
      <c r="AZ63" s="45" t="s">
        <v>178</v>
      </c>
      <c r="BA63" s="50">
        <v>200</v>
      </c>
      <c r="BB63" s="45" t="s">
        <v>178</v>
      </c>
      <c r="BC63" s="50">
        <v>200</v>
      </c>
    </row>
    <row r="64" spans="1:55" ht="15" customHeight="1" x14ac:dyDescent="0.55000000000000004">
      <c r="C64" s="45" t="s">
        <v>182</v>
      </c>
      <c r="D64" s="50">
        <v>135</v>
      </c>
      <c r="E64" s="45" t="s">
        <v>182</v>
      </c>
      <c r="F64" s="50">
        <v>135</v>
      </c>
      <c r="G64" s="45" t="s">
        <v>182</v>
      </c>
      <c r="H64" s="50">
        <v>135</v>
      </c>
      <c r="I64" s="45" t="s">
        <v>182</v>
      </c>
      <c r="J64" s="50">
        <v>135</v>
      </c>
      <c r="K64" s="45" t="s">
        <v>182</v>
      </c>
      <c r="L64" s="50">
        <v>135</v>
      </c>
      <c r="M64" s="45" t="s">
        <v>182</v>
      </c>
      <c r="N64" s="50">
        <v>135</v>
      </c>
      <c r="O64" s="45" t="s">
        <v>182</v>
      </c>
      <c r="P64" s="50">
        <v>135</v>
      </c>
      <c r="Q64" s="45" t="s">
        <v>182</v>
      </c>
      <c r="R64" s="50">
        <v>135</v>
      </c>
      <c r="S64" s="45" t="s">
        <v>182</v>
      </c>
      <c r="T64" s="50">
        <v>135</v>
      </c>
      <c r="U64" s="45" t="s">
        <v>182</v>
      </c>
      <c r="V64" s="50">
        <v>135</v>
      </c>
      <c r="W64" s="45" t="s">
        <v>182</v>
      </c>
      <c r="X64" s="50">
        <v>135</v>
      </c>
      <c r="Y64" s="45" t="s">
        <v>182</v>
      </c>
      <c r="Z64" s="50">
        <v>135</v>
      </c>
      <c r="AA64" s="45" t="s">
        <v>182</v>
      </c>
      <c r="AB64" s="50">
        <v>135</v>
      </c>
      <c r="AD64" s="49" t="s">
        <v>179</v>
      </c>
      <c r="AE64" s="50">
        <v>200</v>
      </c>
      <c r="AF64" s="49" t="s">
        <v>179</v>
      </c>
      <c r="AG64" s="50">
        <v>200</v>
      </c>
      <c r="AH64" s="49" t="s">
        <v>179</v>
      </c>
      <c r="AI64" s="50">
        <v>200</v>
      </c>
      <c r="AJ64" s="49" t="s">
        <v>179</v>
      </c>
      <c r="AK64" s="50">
        <v>200</v>
      </c>
      <c r="AL64" s="49" t="s">
        <v>179</v>
      </c>
      <c r="AM64" s="50">
        <v>200</v>
      </c>
      <c r="AN64" s="49" t="s">
        <v>179</v>
      </c>
      <c r="AO64" s="50">
        <v>200</v>
      </c>
      <c r="AP64" s="49" t="s">
        <v>179</v>
      </c>
      <c r="AQ64" s="50">
        <v>200</v>
      </c>
      <c r="AR64" s="49" t="s">
        <v>179</v>
      </c>
      <c r="AS64" s="50">
        <v>200</v>
      </c>
      <c r="AT64" s="49" t="s">
        <v>179</v>
      </c>
      <c r="AU64" s="50">
        <v>200</v>
      </c>
      <c r="AV64" s="49" t="s">
        <v>179</v>
      </c>
      <c r="AW64" s="50">
        <v>200</v>
      </c>
      <c r="AX64" s="49" t="s">
        <v>179</v>
      </c>
      <c r="AY64" s="50">
        <v>200</v>
      </c>
      <c r="AZ64" s="49" t="s">
        <v>179</v>
      </c>
      <c r="BA64" s="50">
        <v>200</v>
      </c>
      <c r="BB64" s="49" t="s">
        <v>179</v>
      </c>
      <c r="BC64" s="50">
        <v>200</v>
      </c>
    </row>
    <row r="65" spans="3:55" ht="15" customHeight="1" x14ac:dyDescent="0.55000000000000004">
      <c r="C65" s="45" t="s">
        <v>183</v>
      </c>
      <c r="D65" s="50">
        <v>200</v>
      </c>
      <c r="E65" s="45" t="s">
        <v>183</v>
      </c>
      <c r="F65" s="50">
        <v>200</v>
      </c>
      <c r="G65" s="45" t="s">
        <v>183</v>
      </c>
      <c r="H65" s="50">
        <v>200</v>
      </c>
      <c r="I65" s="45" t="s">
        <v>183</v>
      </c>
      <c r="J65" s="50">
        <v>200</v>
      </c>
      <c r="K65" s="45" t="s">
        <v>183</v>
      </c>
      <c r="L65" s="50">
        <v>200</v>
      </c>
      <c r="M65" s="45" t="s">
        <v>183</v>
      </c>
      <c r="N65" s="50">
        <v>200</v>
      </c>
      <c r="O65" s="45" t="s">
        <v>183</v>
      </c>
      <c r="P65" s="50">
        <v>200</v>
      </c>
      <c r="Q65" s="45" t="s">
        <v>183</v>
      </c>
      <c r="R65" s="50">
        <v>200</v>
      </c>
      <c r="S65" s="45" t="s">
        <v>183</v>
      </c>
      <c r="T65" s="50">
        <v>200</v>
      </c>
      <c r="U65" s="45" t="s">
        <v>183</v>
      </c>
      <c r="V65" s="50">
        <v>200</v>
      </c>
      <c r="W65" s="45" t="s">
        <v>183</v>
      </c>
      <c r="X65" s="50">
        <v>200</v>
      </c>
      <c r="Y65" s="45" t="s">
        <v>183</v>
      </c>
      <c r="Z65" s="50">
        <v>200</v>
      </c>
      <c r="AA65" s="45" t="s">
        <v>183</v>
      </c>
      <c r="AB65" s="50">
        <v>200</v>
      </c>
      <c r="AD65" s="45" t="s">
        <v>180</v>
      </c>
      <c r="AE65" s="50">
        <v>165</v>
      </c>
      <c r="AF65" s="45" t="s">
        <v>180</v>
      </c>
      <c r="AG65" s="50">
        <v>165</v>
      </c>
      <c r="AH65" s="45" t="s">
        <v>180</v>
      </c>
      <c r="AI65" s="50">
        <v>165</v>
      </c>
      <c r="AJ65" s="45" t="s">
        <v>180</v>
      </c>
      <c r="AK65" s="50">
        <v>165</v>
      </c>
      <c r="AL65" s="45" t="s">
        <v>180</v>
      </c>
      <c r="AM65" s="50">
        <v>165</v>
      </c>
      <c r="AN65" s="45" t="s">
        <v>180</v>
      </c>
      <c r="AO65" s="50">
        <v>165</v>
      </c>
      <c r="AP65" s="45" t="s">
        <v>180</v>
      </c>
      <c r="AQ65" s="50">
        <v>165</v>
      </c>
      <c r="AR65" s="45" t="s">
        <v>180</v>
      </c>
      <c r="AS65" s="50">
        <v>165</v>
      </c>
      <c r="AT65" s="45" t="s">
        <v>180</v>
      </c>
      <c r="AU65" s="50">
        <v>165</v>
      </c>
      <c r="AV65" s="45" t="s">
        <v>180</v>
      </c>
      <c r="AW65" s="50">
        <v>165</v>
      </c>
      <c r="AX65" s="45" t="s">
        <v>180</v>
      </c>
      <c r="AY65" s="50">
        <v>165</v>
      </c>
      <c r="AZ65" s="45" t="s">
        <v>180</v>
      </c>
      <c r="BA65" s="50">
        <v>165</v>
      </c>
      <c r="BB65" s="45" t="s">
        <v>180</v>
      </c>
      <c r="BC65" s="50">
        <v>165</v>
      </c>
    </row>
    <row r="66" spans="3:55" ht="15" customHeight="1" x14ac:dyDescent="0.55000000000000004">
      <c r="C66" s="45" t="s">
        <v>184</v>
      </c>
      <c r="D66" s="50">
        <v>200</v>
      </c>
      <c r="E66" s="45" t="s">
        <v>184</v>
      </c>
      <c r="F66" s="50">
        <v>200</v>
      </c>
      <c r="G66" s="45" t="s">
        <v>184</v>
      </c>
      <c r="H66" s="50">
        <v>200</v>
      </c>
      <c r="I66" s="45" t="s">
        <v>184</v>
      </c>
      <c r="J66" s="50">
        <v>200</v>
      </c>
      <c r="K66" s="45" t="s">
        <v>184</v>
      </c>
      <c r="L66" s="50">
        <v>200</v>
      </c>
      <c r="M66" s="45" t="s">
        <v>184</v>
      </c>
      <c r="N66" s="50">
        <v>200</v>
      </c>
      <c r="O66" s="45" t="s">
        <v>184</v>
      </c>
      <c r="P66" s="50">
        <v>200</v>
      </c>
      <c r="Q66" s="45" t="s">
        <v>184</v>
      </c>
      <c r="R66" s="50">
        <v>200</v>
      </c>
      <c r="S66" s="45" t="s">
        <v>184</v>
      </c>
      <c r="T66" s="50">
        <v>200</v>
      </c>
      <c r="U66" s="45" t="s">
        <v>184</v>
      </c>
      <c r="V66" s="50">
        <v>200</v>
      </c>
      <c r="W66" s="45" t="s">
        <v>184</v>
      </c>
      <c r="X66" s="50">
        <v>200</v>
      </c>
      <c r="Y66" s="45" t="s">
        <v>184</v>
      </c>
      <c r="Z66" s="50">
        <v>200</v>
      </c>
      <c r="AA66" s="45" t="s">
        <v>184</v>
      </c>
      <c r="AB66" s="50">
        <v>200</v>
      </c>
      <c r="AD66" s="45" t="s">
        <v>181</v>
      </c>
      <c r="AE66" s="50">
        <v>165</v>
      </c>
      <c r="AF66" s="45" t="s">
        <v>181</v>
      </c>
      <c r="AG66" s="50">
        <v>165</v>
      </c>
      <c r="AH66" s="45" t="s">
        <v>181</v>
      </c>
      <c r="AI66" s="50">
        <v>165</v>
      </c>
      <c r="AJ66" s="45" t="s">
        <v>181</v>
      </c>
      <c r="AK66" s="50">
        <v>165</v>
      </c>
      <c r="AL66" s="45" t="s">
        <v>181</v>
      </c>
      <c r="AM66" s="50">
        <v>165</v>
      </c>
      <c r="AN66" s="45" t="s">
        <v>181</v>
      </c>
      <c r="AO66" s="50">
        <v>165</v>
      </c>
      <c r="AP66" s="45" t="s">
        <v>181</v>
      </c>
      <c r="AQ66" s="50">
        <v>165</v>
      </c>
      <c r="AR66" s="45" t="s">
        <v>181</v>
      </c>
      <c r="AS66" s="50">
        <v>165</v>
      </c>
      <c r="AT66" s="45" t="s">
        <v>181</v>
      </c>
      <c r="AU66" s="50">
        <v>165</v>
      </c>
      <c r="AV66" s="45" t="s">
        <v>181</v>
      </c>
      <c r="AW66" s="50">
        <v>165</v>
      </c>
      <c r="AX66" s="45" t="s">
        <v>181</v>
      </c>
      <c r="AY66" s="50">
        <v>165</v>
      </c>
      <c r="AZ66" s="45" t="s">
        <v>181</v>
      </c>
      <c r="BA66" s="50">
        <v>165</v>
      </c>
      <c r="BB66" s="45" t="s">
        <v>181</v>
      </c>
      <c r="BC66" s="50">
        <v>165</v>
      </c>
    </row>
    <row r="67" spans="3:55" ht="15" customHeight="1" x14ac:dyDescent="0.55000000000000004">
      <c r="C67" s="45" t="s">
        <v>185</v>
      </c>
      <c r="D67" s="50">
        <v>200</v>
      </c>
      <c r="E67" s="45" t="s">
        <v>185</v>
      </c>
      <c r="F67" s="50">
        <v>200</v>
      </c>
      <c r="G67" s="45" t="s">
        <v>185</v>
      </c>
      <c r="H67" s="50">
        <v>200</v>
      </c>
      <c r="I67" s="45" t="s">
        <v>185</v>
      </c>
      <c r="J67" s="50">
        <v>200</v>
      </c>
      <c r="K67" s="45" t="s">
        <v>185</v>
      </c>
      <c r="L67" s="50">
        <v>200</v>
      </c>
      <c r="M67" s="45" t="s">
        <v>185</v>
      </c>
      <c r="N67" s="50">
        <v>200</v>
      </c>
      <c r="O67" s="45" t="s">
        <v>185</v>
      </c>
      <c r="P67" s="50">
        <v>200</v>
      </c>
      <c r="Q67" s="45" t="s">
        <v>185</v>
      </c>
      <c r="R67" s="50">
        <v>200</v>
      </c>
      <c r="S67" s="45" t="s">
        <v>185</v>
      </c>
      <c r="T67" s="50">
        <v>200</v>
      </c>
      <c r="U67" s="45" t="s">
        <v>185</v>
      </c>
      <c r="V67" s="50">
        <v>200</v>
      </c>
      <c r="W67" s="45" t="s">
        <v>185</v>
      </c>
      <c r="X67" s="50">
        <v>200</v>
      </c>
      <c r="Y67" s="45" t="s">
        <v>185</v>
      </c>
      <c r="Z67" s="50">
        <v>200</v>
      </c>
      <c r="AA67" s="45" t="s">
        <v>185</v>
      </c>
      <c r="AB67" s="50">
        <v>200</v>
      </c>
      <c r="AD67" s="45" t="s">
        <v>182</v>
      </c>
      <c r="AE67" s="50">
        <v>135</v>
      </c>
      <c r="AF67" s="45" t="s">
        <v>182</v>
      </c>
      <c r="AG67" s="50">
        <v>135</v>
      </c>
      <c r="AH67" s="45" t="s">
        <v>182</v>
      </c>
      <c r="AI67" s="50">
        <v>135</v>
      </c>
      <c r="AJ67" s="45" t="s">
        <v>182</v>
      </c>
      <c r="AK67" s="50">
        <v>135</v>
      </c>
      <c r="AL67" s="45" t="s">
        <v>182</v>
      </c>
      <c r="AM67" s="50">
        <v>135</v>
      </c>
      <c r="AN67" s="45" t="s">
        <v>182</v>
      </c>
      <c r="AO67" s="50">
        <v>135</v>
      </c>
      <c r="AP67" s="45" t="s">
        <v>182</v>
      </c>
      <c r="AQ67" s="50">
        <v>135</v>
      </c>
      <c r="AR67" s="45" t="s">
        <v>182</v>
      </c>
      <c r="AS67" s="50">
        <v>135</v>
      </c>
      <c r="AT67" s="45" t="s">
        <v>182</v>
      </c>
      <c r="AU67" s="50">
        <v>135</v>
      </c>
      <c r="AV67" s="45" t="s">
        <v>182</v>
      </c>
      <c r="AW67" s="50">
        <v>135</v>
      </c>
      <c r="AX67" s="45" t="s">
        <v>182</v>
      </c>
      <c r="AY67" s="50">
        <v>135</v>
      </c>
      <c r="AZ67" s="45" t="s">
        <v>182</v>
      </c>
      <c r="BA67" s="50">
        <v>135</v>
      </c>
      <c r="BB67" s="45" t="s">
        <v>182</v>
      </c>
      <c r="BC67" s="50">
        <v>135</v>
      </c>
    </row>
    <row r="68" spans="3:55" ht="15" customHeight="1" x14ac:dyDescent="0.55000000000000004">
      <c r="C68" s="45" t="s">
        <v>186</v>
      </c>
      <c r="D68" s="50">
        <v>200</v>
      </c>
      <c r="E68" s="45" t="s">
        <v>186</v>
      </c>
      <c r="F68" s="50">
        <v>200</v>
      </c>
      <c r="G68" s="45" t="s">
        <v>186</v>
      </c>
      <c r="H68" s="50">
        <v>200</v>
      </c>
      <c r="I68" s="45" t="s">
        <v>186</v>
      </c>
      <c r="J68" s="50">
        <v>200</v>
      </c>
      <c r="K68" s="45" t="s">
        <v>186</v>
      </c>
      <c r="L68" s="50">
        <v>200</v>
      </c>
      <c r="M68" s="45" t="s">
        <v>186</v>
      </c>
      <c r="N68" s="50">
        <v>200</v>
      </c>
      <c r="O68" s="45" t="s">
        <v>186</v>
      </c>
      <c r="P68" s="50">
        <v>200</v>
      </c>
      <c r="Q68" s="45" t="s">
        <v>186</v>
      </c>
      <c r="R68" s="50">
        <v>200</v>
      </c>
      <c r="S68" s="45" t="s">
        <v>186</v>
      </c>
      <c r="T68" s="50">
        <v>200</v>
      </c>
      <c r="U68" s="45" t="s">
        <v>186</v>
      </c>
      <c r="V68" s="50">
        <v>200</v>
      </c>
      <c r="W68" s="45" t="s">
        <v>186</v>
      </c>
      <c r="X68" s="50">
        <v>200</v>
      </c>
      <c r="Y68" s="45" t="s">
        <v>186</v>
      </c>
      <c r="Z68" s="50">
        <v>200</v>
      </c>
      <c r="AA68" s="45" t="s">
        <v>186</v>
      </c>
      <c r="AB68" s="50">
        <v>200</v>
      </c>
      <c r="AD68" s="45" t="s">
        <v>183</v>
      </c>
      <c r="AE68" s="50">
        <v>200</v>
      </c>
      <c r="AF68" s="45" t="s">
        <v>183</v>
      </c>
      <c r="AG68" s="50">
        <v>200</v>
      </c>
      <c r="AH68" s="45" t="s">
        <v>183</v>
      </c>
      <c r="AI68" s="50">
        <v>200</v>
      </c>
      <c r="AJ68" s="45" t="s">
        <v>183</v>
      </c>
      <c r="AK68" s="50">
        <v>200</v>
      </c>
      <c r="AL68" s="45" t="s">
        <v>183</v>
      </c>
      <c r="AM68" s="50">
        <v>200</v>
      </c>
      <c r="AN68" s="45" t="s">
        <v>183</v>
      </c>
      <c r="AO68" s="50">
        <v>200</v>
      </c>
      <c r="AP68" s="45" t="s">
        <v>183</v>
      </c>
      <c r="AQ68" s="50">
        <v>200</v>
      </c>
      <c r="AR68" s="45" t="s">
        <v>183</v>
      </c>
      <c r="AS68" s="50">
        <v>200</v>
      </c>
      <c r="AT68" s="45" t="s">
        <v>183</v>
      </c>
      <c r="AU68" s="50">
        <v>200</v>
      </c>
      <c r="AV68" s="45" t="s">
        <v>183</v>
      </c>
      <c r="AW68" s="50">
        <v>200</v>
      </c>
      <c r="AX68" s="45" t="s">
        <v>183</v>
      </c>
      <c r="AY68" s="50">
        <v>200</v>
      </c>
      <c r="AZ68" s="45" t="s">
        <v>183</v>
      </c>
      <c r="BA68" s="50">
        <v>200</v>
      </c>
      <c r="BB68" s="45" t="s">
        <v>183</v>
      </c>
      <c r="BC68" s="50">
        <v>200</v>
      </c>
    </row>
    <row r="69" spans="3:55" ht="15" customHeight="1" x14ac:dyDescent="0.55000000000000004">
      <c r="C69" s="45" t="s">
        <v>187</v>
      </c>
      <c r="D69" s="50">
        <v>200</v>
      </c>
      <c r="E69" s="45" t="s">
        <v>187</v>
      </c>
      <c r="F69" s="50">
        <v>200</v>
      </c>
      <c r="G69" s="45" t="s">
        <v>187</v>
      </c>
      <c r="H69" s="50">
        <v>200</v>
      </c>
      <c r="I69" s="45" t="s">
        <v>187</v>
      </c>
      <c r="J69" s="50">
        <v>200</v>
      </c>
      <c r="K69" s="45" t="s">
        <v>187</v>
      </c>
      <c r="L69" s="50">
        <v>200</v>
      </c>
      <c r="M69" s="45" t="s">
        <v>187</v>
      </c>
      <c r="N69" s="50">
        <v>200</v>
      </c>
      <c r="O69" s="45" t="s">
        <v>187</v>
      </c>
      <c r="P69" s="50">
        <v>200</v>
      </c>
      <c r="Q69" s="45" t="s">
        <v>187</v>
      </c>
      <c r="R69" s="50">
        <v>200</v>
      </c>
      <c r="S69" s="45" t="s">
        <v>187</v>
      </c>
      <c r="T69" s="50">
        <v>200</v>
      </c>
      <c r="U69" s="45" t="s">
        <v>187</v>
      </c>
      <c r="V69" s="50">
        <v>200</v>
      </c>
      <c r="W69" s="45" t="s">
        <v>187</v>
      </c>
      <c r="X69" s="50">
        <v>200</v>
      </c>
      <c r="Y69" s="45" t="s">
        <v>187</v>
      </c>
      <c r="Z69" s="50">
        <v>200</v>
      </c>
      <c r="AA69" s="45" t="s">
        <v>187</v>
      </c>
      <c r="AB69" s="50">
        <v>200</v>
      </c>
    </row>
    <row r="70" spans="3:55" ht="15" customHeight="1" x14ac:dyDescent="0.55000000000000004">
      <c r="C70" s="45" t="s">
        <v>188</v>
      </c>
      <c r="D70" s="50">
        <v>200</v>
      </c>
      <c r="E70" s="45" t="s">
        <v>188</v>
      </c>
      <c r="F70" s="50">
        <v>200</v>
      </c>
      <c r="G70" s="45" t="s">
        <v>188</v>
      </c>
      <c r="H70" s="50">
        <v>200</v>
      </c>
      <c r="I70" s="45" t="s">
        <v>188</v>
      </c>
      <c r="J70" s="50">
        <v>200</v>
      </c>
      <c r="K70" s="45" t="s">
        <v>188</v>
      </c>
      <c r="L70" s="50">
        <v>200</v>
      </c>
      <c r="M70" s="45" t="s">
        <v>188</v>
      </c>
      <c r="N70" s="50">
        <v>200</v>
      </c>
      <c r="O70" s="45" t="s">
        <v>188</v>
      </c>
      <c r="P70" s="50">
        <v>200</v>
      </c>
      <c r="Q70" s="45" t="s">
        <v>188</v>
      </c>
      <c r="R70" s="50">
        <v>200</v>
      </c>
      <c r="S70" s="45" t="s">
        <v>188</v>
      </c>
      <c r="T70" s="50">
        <v>200</v>
      </c>
      <c r="U70" s="45" t="s">
        <v>188</v>
      </c>
      <c r="V70" s="50">
        <v>200</v>
      </c>
      <c r="W70" s="45" t="s">
        <v>188</v>
      </c>
      <c r="X70" s="50">
        <v>200</v>
      </c>
      <c r="Y70" s="45" t="s">
        <v>188</v>
      </c>
      <c r="Z70" s="50">
        <v>200</v>
      </c>
      <c r="AA70" s="45" t="s">
        <v>188</v>
      </c>
      <c r="AB70" s="50">
        <v>200</v>
      </c>
    </row>
    <row r="71" spans="3:55" ht="15" customHeight="1" x14ac:dyDescent="0.55000000000000004">
      <c r="C71" s="49" t="s">
        <v>189</v>
      </c>
      <c r="D71" s="50">
        <v>200</v>
      </c>
      <c r="E71" s="49" t="s">
        <v>189</v>
      </c>
      <c r="F71" s="50">
        <v>200</v>
      </c>
      <c r="G71" s="49" t="s">
        <v>189</v>
      </c>
      <c r="H71" s="50">
        <v>200</v>
      </c>
      <c r="I71" s="49" t="s">
        <v>189</v>
      </c>
      <c r="J71" s="50">
        <v>200</v>
      </c>
      <c r="K71" s="49" t="s">
        <v>189</v>
      </c>
      <c r="L71" s="50">
        <v>200</v>
      </c>
      <c r="M71" s="49" t="s">
        <v>189</v>
      </c>
      <c r="N71" s="50">
        <v>200</v>
      </c>
      <c r="O71" s="49" t="s">
        <v>189</v>
      </c>
      <c r="P71" s="50">
        <v>200</v>
      </c>
      <c r="Q71" s="49" t="s">
        <v>189</v>
      </c>
      <c r="R71" s="50">
        <v>200</v>
      </c>
      <c r="S71" s="49" t="s">
        <v>189</v>
      </c>
      <c r="T71" s="50">
        <v>200</v>
      </c>
      <c r="U71" s="49" t="s">
        <v>189</v>
      </c>
      <c r="V71" s="50">
        <v>200</v>
      </c>
      <c r="W71" s="49" t="s">
        <v>189</v>
      </c>
      <c r="X71" s="50">
        <v>200</v>
      </c>
      <c r="Y71" s="49" t="s">
        <v>189</v>
      </c>
      <c r="Z71" s="50">
        <v>200</v>
      </c>
      <c r="AA71" s="49" t="s">
        <v>189</v>
      </c>
      <c r="AB71" s="50">
        <v>200</v>
      </c>
    </row>
    <row r="72" spans="3:55" ht="15" customHeight="1" x14ac:dyDescent="0.55000000000000004">
      <c r="C72" s="49" t="s">
        <v>191</v>
      </c>
      <c r="D72" s="50">
        <v>200</v>
      </c>
      <c r="E72" s="49" t="s">
        <v>191</v>
      </c>
      <c r="F72" s="50">
        <v>200</v>
      </c>
      <c r="G72" s="49" t="s">
        <v>191</v>
      </c>
      <c r="H72" s="50">
        <v>200</v>
      </c>
      <c r="I72" s="49" t="s">
        <v>191</v>
      </c>
      <c r="J72" s="50">
        <v>200</v>
      </c>
      <c r="K72" s="49" t="s">
        <v>191</v>
      </c>
      <c r="L72" s="50">
        <v>200</v>
      </c>
      <c r="M72" s="49" t="s">
        <v>191</v>
      </c>
      <c r="N72" s="50">
        <v>200</v>
      </c>
      <c r="O72" s="49" t="s">
        <v>191</v>
      </c>
      <c r="P72" s="50">
        <v>200</v>
      </c>
      <c r="Q72" s="49" t="s">
        <v>191</v>
      </c>
      <c r="R72" s="50">
        <v>200</v>
      </c>
      <c r="S72" s="49" t="s">
        <v>191</v>
      </c>
      <c r="T72" s="50">
        <v>200</v>
      </c>
      <c r="U72" s="49" t="s">
        <v>191</v>
      </c>
      <c r="V72" s="50">
        <v>200</v>
      </c>
      <c r="W72" s="49" t="s">
        <v>191</v>
      </c>
      <c r="X72" s="50">
        <v>200</v>
      </c>
      <c r="Y72" s="49" t="s">
        <v>191</v>
      </c>
      <c r="Z72" s="50">
        <v>200</v>
      </c>
      <c r="AA72" s="49" t="s">
        <v>191</v>
      </c>
      <c r="AB72" s="50">
        <v>200</v>
      </c>
    </row>
    <row r="73" spans="3:55" ht="15" customHeight="1" x14ac:dyDescent="0.55000000000000004">
      <c r="C73" s="49" t="s">
        <v>192</v>
      </c>
      <c r="D73" s="50">
        <v>200</v>
      </c>
      <c r="E73" s="49" t="s">
        <v>192</v>
      </c>
      <c r="F73" s="50">
        <v>200</v>
      </c>
      <c r="G73" s="49" t="s">
        <v>192</v>
      </c>
      <c r="H73" s="50">
        <v>200</v>
      </c>
      <c r="I73" s="49" t="s">
        <v>192</v>
      </c>
      <c r="J73" s="50">
        <v>200</v>
      </c>
      <c r="K73" s="49" t="s">
        <v>192</v>
      </c>
      <c r="L73" s="50">
        <v>200</v>
      </c>
      <c r="M73" s="49" t="s">
        <v>192</v>
      </c>
      <c r="N73" s="50">
        <v>200</v>
      </c>
      <c r="O73" s="49" t="s">
        <v>192</v>
      </c>
      <c r="P73" s="50">
        <v>200</v>
      </c>
      <c r="Q73" s="49" t="s">
        <v>192</v>
      </c>
      <c r="R73" s="50">
        <v>200</v>
      </c>
      <c r="S73" s="49" t="s">
        <v>192</v>
      </c>
      <c r="T73" s="50">
        <v>200</v>
      </c>
      <c r="U73" s="49" t="s">
        <v>192</v>
      </c>
      <c r="V73" s="50">
        <v>200</v>
      </c>
      <c r="W73" s="49" t="s">
        <v>192</v>
      </c>
      <c r="X73" s="50">
        <v>200</v>
      </c>
      <c r="Y73" s="49" t="s">
        <v>192</v>
      </c>
      <c r="Z73" s="50">
        <v>200</v>
      </c>
      <c r="AA73" s="49" t="s">
        <v>192</v>
      </c>
      <c r="AB73" s="50">
        <v>200</v>
      </c>
    </row>
    <row r="74" spans="3:55" ht="15" customHeight="1" x14ac:dyDescent="0.55000000000000004">
      <c r="C74" s="49"/>
      <c r="D74" s="50"/>
      <c r="E74" s="49" t="s">
        <v>190</v>
      </c>
      <c r="F74" s="50">
        <v>200</v>
      </c>
      <c r="G74" s="49" t="s">
        <v>190</v>
      </c>
      <c r="H74" s="50">
        <v>200</v>
      </c>
      <c r="I74" s="49" t="s">
        <v>190</v>
      </c>
      <c r="J74" s="50">
        <v>200</v>
      </c>
      <c r="K74" s="49" t="s">
        <v>190</v>
      </c>
      <c r="L74" s="50">
        <v>200</v>
      </c>
      <c r="M74" s="49" t="s">
        <v>190</v>
      </c>
      <c r="N74" s="50">
        <v>200</v>
      </c>
      <c r="O74" s="49" t="s">
        <v>190</v>
      </c>
      <c r="P74" s="50">
        <v>200</v>
      </c>
      <c r="Q74" s="49" t="s">
        <v>190</v>
      </c>
      <c r="R74" s="50">
        <v>200</v>
      </c>
      <c r="S74" s="49" t="s">
        <v>190</v>
      </c>
      <c r="T74" s="50">
        <v>200</v>
      </c>
      <c r="U74" s="49" t="s">
        <v>190</v>
      </c>
      <c r="V74" s="50">
        <v>200</v>
      </c>
      <c r="W74" s="49" t="s">
        <v>190</v>
      </c>
      <c r="X74" s="50">
        <v>200</v>
      </c>
      <c r="Y74" s="49" t="s">
        <v>190</v>
      </c>
      <c r="Z74" s="50">
        <v>200</v>
      </c>
      <c r="AA74" s="49" t="s">
        <v>190</v>
      </c>
      <c r="AB74" s="50">
        <v>200</v>
      </c>
    </row>
    <row r="75" spans="3:55" ht="15" customHeight="1" x14ac:dyDescent="0.55000000000000004">
      <c r="C75" s="49"/>
      <c r="D75" s="50"/>
      <c r="E75" s="49" t="s">
        <v>165</v>
      </c>
      <c r="F75" s="50">
        <v>165</v>
      </c>
      <c r="G75" s="49" t="s">
        <v>165</v>
      </c>
      <c r="H75" s="50">
        <v>165</v>
      </c>
      <c r="I75" s="49" t="s">
        <v>165</v>
      </c>
      <c r="J75" s="50">
        <v>165</v>
      </c>
      <c r="K75" s="49" t="s">
        <v>165</v>
      </c>
      <c r="L75" s="50">
        <v>165</v>
      </c>
      <c r="M75" s="49" t="s">
        <v>165</v>
      </c>
      <c r="N75" s="50">
        <v>165</v>
      </c>
      <c r="O75" s="49" t="s">
        <v>165</v>
      </c>
      <c r="P75" s="50">
        <v>165</v>
      </c>
      <c r="Q75" s="49" t="s">
        <v>165</v>
      </c>
      <c r="R75" s="50">
        <v>165</v>
      </c>
      <c r="S75" s="49" t="s">
        <v>165</v>
      </c>
      <c r="T75" s="50">
        <v>165</v>
      </c>
      <c r="U75" s="49" t="s">
        <v>165</v>
      </c>
      <c r="V75" s="50">
        <v>165</v>
      </c>
      <c r="W75" s="49" t="s">
        <v>165</v>
      </c>
      <c r="X75" s="50">
        <v>80</v>
      </c>
      <c r="Y75" s="56"/>
      <c r="Z75" s="57"/>
      <c r="AA75" s="56"/>
      <c r="AB75" s="57"/>
    </row>
    <row r="76" spans="3:55" ht="15" customHeight="1" x14ac:dyDescent="0.55000000000000004">
      <c r="C76" s="49"/>
      <c r="D76" s="50"/>
      <c r="E76" s="49" t="s">
        <v>164</v>
      </c>
      <c r="F76" s="50">
        <v>200</v>
      </c>
      <c r="G76" s="49" t="s">
        <v>164</v>
      </c>
      <c r="H76" s="50">
        <v>200</v>
      </c>
      <c r="I76" s="49" t="s">
        <v>164</v>
      </c>
      <c r="J76" s="50">
        <v>200</v>
      </c>
      <c r="K76" s="49" t="s">
        <v>164</v>
      </c>
      <c r="L76" s="50">
        <v>200</v>
      </c>
      <c r="M76" s="49" t="s">
        <v>164</v>
      </c>
      <c r="N76" s="50">
        <v>200</v>
      </c>
      <c r="O76" s="49" t="s">
        <v>164</v>
      </c>
      <c r="P76" s="50">
        <v>200</v>
      </c>
      <c r="Q76" s="49" t="s">
        <v>164</v>
      </c>
      <c r="R76" s="50">
        <v>200</v>
      </c>
      <c r="S76" s="49" t="s">
        <v>164</v>
      </c>
      <c r="T76" s="50">
        <v>200</v>
      </c>
      <c r="U76" s="49" t="s">
        <v>164</v>
      </c>
      <c r="V76" s="50">
        <v>200</v>
      </c>
      <c r="W76" s="49" t="s">
        <v>164</v>
      </c>
      <c r="X76" s="50">
        <v>100</v>
      </c>
      <c r="Y76" s="56"/>
      <c r="Z76" s="57"/>
      <c r="AA76" s="56"/>
      <c r="AB76" s="57"/>
    </row>
    <row r="77" spans="3:55" ht="15" customHeight="1" x14ac:dyDescent="0.55000000000000004">
      <c r="C77" s="49"/>
      <c r="D77" s="50"/>
      <c r="E77" s="49" t="s">
        <v>161</v>
      </c>
      <c r="F77" s="50">
        <v>165</v>
      </c>
      <c r="G77" s="49" t="s">
        <v>161</v>
      </c>
      <c r="H77" s="50">
        <v>165</v>
      </c>
      <c r="I77" s="49" t="s">
        <v>161</v>
      </c>
      <c r="J77" s="50">
        <v>165</v>
      </c>
      <c r="K77" s="56"/>
      <c r="L77" s="57"/>
      <c r="M77" s="56"/>
      <c r="N77" s="57"/>
      <c r="O77" s="56"/>
      <c r="P77" s="57"/>
      <c r="Q77" s="56"/>
      <c r="R77" s="57"/>
      <c r="S77" s="56"/>
      <c r="T77" s="57"/>
      <c r="U77" s="56"/>
      <c r="V77" s="57"/>
      <c r="W77" s="56"/>
      <c r="X77" s="57"/>
      <c r="Y77" s="56"/>
      <c r="Z77" s="57"/>
      <c r="AA77" s="56"/>
      <c r="AB77" s="57"/>
    </row>
    <row r="78" spans="3:55" ht="15" customHeight="1" x14ac:dyDescent="0.55000000000000004">
      <c r="C78" s="49"/>
      <c r="D78" s="50"/>
      <c r="E78" s="49"/>
      <c r="F78" s="50"/>
      <c r="G78" s="49" t="s">
        <v>162</v>
      </c>
      <c r="H78" s="50">
        <v>200</v>
      </c>
      <c r="I78" s="49" t="s">
        <v>162</v>
      </c>
      <c r="J78" s="50">
        <v>200</v>
      </c>
      <c r="K78" s="49" t="s">
        <v>162</v>
      </c>
      <c r="L78" s="50">
        <v>200</v>
      </c>
      <c r="M78" s="49" t="s">
        <v>162</v>
      </c>
      <c r="N78" s="50">
        <v>200</v>
      </c>
      <c r="O78" s="49" t="s">
        <v>162</v>
      </c>
      <c r="P78" s="50">
        <v>200</v>
      </c>
      <c r="Q78" s="56"/>
      <c r="R78" s="57"/>
      <c r="S78" s="56"/>
      <c r="T78" s="57"/>
      <c r="U78" s="56"/>
      <c r="V78" s="57"/>
      <c r="W78" s="56"/>
      <c r="X78" s="57"/>
      <c r="Y78" s="56"/>
      <c r="Z78" s="57"/>
      <c r="AA78" s="56"/>
      <c r="AB78" s="57"/>
    </row>
    <row r="79" spans="3:55" ht="15" customHeight="1" x14ac:dyDescent="0.55000000000000004">
      <c r="C79" s="49"/>
      <c r="D79" s="50"/>
      <c r="E79" s="49"/>
      <c r="F79" s="50"/>
      <c r="G79" s="49"/>
      <c r="H79" s="50"/>
      <c r="I79" s="49"/>
      <c r="J79" s="50"/>
      <c r="K79" s="49" t="s">
        <v>193</v>
      </c>
      <c r="L79" s="50">
        <v>100</v>
      </c>
      <c r="M79" s="49" t="s">
        <v>193</v>
      </c>
      <c r="N79" s="50">
        <v>100</v>
      </c>
      <c r="O79" s="49" t="s">
        <v>193</v>
      </c>
      <c r="P79" s="50">
        <v>200</v>
      </c>
      <c r="Q79" s="49" t="s">
        <v>193</v>
      </c>
      <c r="R79" s="50">
        <v>200</v>
      </c>
      <c r="S79" s="49" t="s">
        <v>193</v>
      </c>
      <c r="T79" s="50">
        <v>200</v>
      </c>
      <c r="U79" s="49" t="s">
        <v>193</v>
      </c>
      <c r="V79" s="50">
        <v>200</v>
      </c>
      <c r="W79" s="49" t="s">
        <v>193</v>
      </c>
      <c r="X79" s="50">
        <v>200</v>
      </c>
      <c r="Y79" s="49" t="s">
        <v>193</v>
      </c>
      <c r="Z79" s="50">
        <v>200</v>
      </c>
      <c r="AA79" s="49" t="s">
        <v>193</v>
      </c>
      <c r="AB79" s="50">
        <v>200</v>
      </c>
    </row>
    <row r="80" spans="3:55" ht="15" customHeight="1" x14ac:dyDescent="0.55000000000000004">
      <c r="C80" s="49"/>
      <c r="D80" s="50"/>
      <c r="E80" s="49"/>
      <c r="F80" s="50"/>
      <c r="G80" s="49"/>
      <c r="H80" s="50"/>
      <c r="I80" s="49"/>
      <c r="J80" s="50"/>
      <c r="K80" s="49" t="s">
        <v>194</v>
      </c>
      <c r="L80" s="50">
        <v>100</v>
      </c>
      <c r="M80" s="49" t="s">
        <v>194</v>
      </c>
      <c r="N80" s="50">
        <v>100</v>
      </c>
      <c r="O80" s="49" t="s">
        <v>194</v>
      </c>
      <c r="P80" s="50">
        <v>200</v>
      </c>
      <c r="Q80" s="49" t="s">
        <v>194</v>
      </c>
      <c r="R80" s="50">
        <v>200</v>
      </c>
      <c r="S80" s="49" t="s">
        <v>194</v>
      </c>
      <c r="T80" s="50">
        <v>200</v>
      </c>
      <c r="U80" s="49" t="s">
        <v>194</v>
      </c>
      <c r="V80" s="50">
        <v>200</v>
      </c>
      <c r="W80" s="49" t="s">
        <v>194</v>
      </c>
      <c r="X80" s="50">
        <v>200</v>
      </c>
      <c r="Y80" s="49" t="s">
        <v>194</v>
      </c>
      <c r="Z80" s="50">
        <v>200</v>
      </c>
      <c r="AA80" s="49" t="s">
        <v>194</v>
      </c>
      <c r="AB80" s="50">
        <v>200</v>
      </c>
    </row>
    <row r="81" spans="3:28" ht="15" customHeight="1" x14ac:dyDescent="0.55000000000000004">
      <c r="C81" s="49"/>
      <c r="D81" s="50"/>
      <c r="E81" s="49"/>
      <c r="F81" s="50"/>
      <c r="G81" s="49"/>
      <c r="H81" s="50"/>
      <c r="I81" s="49"/>
      <c r="J81" s="50"/>
      <c r="K81" s="49" t="s">
        <v>195</v>
      </c>
      <c r="L81" s="50">
        <v>100</v>
      </c>
      <c r="M81" s="49" t="s">
        <v>195</v>
      </c>
      <c r="N81" s="50">
        <v>100</v>
      </c>
      <c r="O81" s="49" t="s">
        <v>195</v>
      </c>
      <c r="P81" s="50">
        <v>200</v>
      </c>
      <c r="Q81" s="49" t="s">
        <v>195</v>
      </c>
      <c r="R81" s="50">
        <v>200</v>
      </c>
      <c r="S81" s="49" t="s">
        <v>195</v>
      </c>
      <c r="T81" s="50">
        <v>200</v>
      </c>
      <c r="U81" s="49" t="s">
        <v>195</v>
      </c>
      <c r="V81" s="50">
        <v>200</v>
      </c>
      <c r="W81" s="49" t="s">
        <v>195</v>
      </c>
      <c r="X81" s="50">
        <v>200</v>
      </c>
      <c r="Y81" s="49" t="s">
        <v>195</v>
      </c>
      <c r="Z81" s="50">
        <v>200</v>
      </c>
      <c r="AA81" s="49" t="s">
        <v>195</v>
      </c>
      <c r="AB81" s="50">
        <v>200</v>
      </c>
    </row>
    <row r="82" spans="3:28" ht="15" customHeight="1" x14ac:dyDescent="0.55000000000000004">
      <c r="C82" s="49"/>
      <c r="D82" s="50"/>
      <c r="E82" s="49"/>
      <c r="F82" s="50"/>
      <c r="G82" s="49"/>
      <c r="H82" s="50"/>
      <c r="I82" s="49"/>
      <c r="J82" s="50"/>
      <c r="K82" s="49" t="s">
        <v>196</v>
      </c>
      <c r="L82" s="50">
        <v>100</v>
      </c>
      <c r="M82" s="49" t="s">
        <v>196</v>
      </c>
      <c r="N82" s="50">
        <v>100</v>
      </c>
      <c r="O82" s="49" t="s">
        <v>196</v>
      </c>
      <c r="P82" s="50">
        <v>200</v>
      </c>
      <c r="Q82" s="49" t="s">
        <v>196</v>
      </c>
      <c r="R82" s="50">
        <v>200</v>
      </c>
      <c r="S82" s="49" t="s">
        <v>196</v>
      </c>
      <c r="T82" s="50">
        <v>200</v>
      </c>
      <c r="U82" s="49" t="s">
        <v>196</v>
      </c>
      <c r="V82" s="50">
        <v>200</v>
      </c>
      <c r="W82" s="49" t="s">
        <v>196</v>
      </c>
      <c r="X82" s="50">
        <v>200</v>
      </c>
      <c r="Y82" s="49" t="s">
        <v>196</v>
      </c>
      <c r="Z82" s="50">
        <v>200</v>
      </c>
      <c r="AA82" s="49" t="s">
        <v>196</v>
      </c>
      <c r="AB82" s="50">
        <v>200</v>
      </c>
    </row>
    <row r="83" spans="3:28" ht="15" customHeight="1" x14ac:dyDescent="0.55000000000000004">
      <c r="C83" s="49"/>
      <c r="D83" s="50"/>
      <c r="E83" s="49"/>
      <c r="F83" s="50"/>
      <c r="G83" s="49"/>
      <c r="H83" s="50"/>
      <c r="I83" s="49"/>
      <c r="J83" s="50"/>
      <c r="K83" s="49" t="s">
        <v>197</v>
      </c>
      <c r="L83" s="50">
        <v>100</v>
      </c>
      <c r="M83" s="49" t="s">
        <v>197</v>
      </c>
      <c r="N83" s="50">
        <v>100</v>
      </c>
      <c r="O83" s="49" t="s">
        <v>197</v>
      </c>
      <c r="P83" s="50">
        <v>200</v>
      </c>
      <c r="Q83" s="49" t="s">
        <v>197</v>
      </c>
      <c r="R83" s="50">
        <v>200</v>
      </c>
      <c r="S83" s="49" t="s">
        <v>197</v>
      </c>
      <c r="T83" s="50">
        <v>200</v>
      </c>
      <c r="U83" s="49" t="s">
        <v>197</v>
      </c>
      <c r="V83" s="50">
        <v>200</v>
      </c>
      <c r="W83" s="49" t="s">
        <v>197</v>
      </c>
      <c r="X83" s="50">
        <v>200</v>
      </c>
      <c r="Y83" s="49" t="s">
        <v>197</v>
      </c>
      <c r="Z83" s="50">
        <v>200</v>
      </c>
      <c r="AA83" s="49" t="s">
        <v>197</v>
      </c>
      <c r="AB83" s="50">
        <v>200</v>
      </c>
    </row>
    <row r="84" spans="3:28" ht="15" customHeight="1" x14ac:dyDescent="0.55000000000000004">
      <c r="C84" s="49"/>
      <c r="D84" s="50"/>
      <c r="E84" s="49"/>
      <c r="F84" s="50"/>
      <c r="G84" s="49"/>
      <c r="H84" s="50"/>
      <c r="I84" s="49"/>
      <c r="J84" s="50"/>
      <c r="K84" s="49" t="s">
        <v>198</v>
      </c>
      <c r="L84" s="50">
        <v>100</v>
      </c>
      <c r="M84" s="49" t="s">
        <v>198</v>
      </c>
      <c r="N84" s="50">
        <v>100</v>
      </c>
      <c r="O84" s="49" t="s">
        <v>198</v>
      </c>
      <c r="P84" s="50">
        <v>100</v>
      </c>
      <c r="Q84" s="49" t="s">
        <v>198</v>
      </c>
      <c r="R84" s="50">
        <v>100</v>
      </c>
      <c r="S84" s="49" t="s">
        <v>198</v>
      </c>
      <c r="T84" s="50">
        <v>100</v>
      </c>
      <c r="U84" s="49" t="s">
        <v>198</v>
      </c>
      <c r="V84" s="50">
        <v>100</v>
      </c>
      <c r="W84" s="49" t="s">
        <v>198</v>
      </c>
      <c r="X84" s="50">
        <v>100</v>
      </c>
      <c r="Y84" s="49" t="s">
        <v>198</v>
      </c>
      <c r="Z84" s="50">
        <v>100</v>
      </c>
      <c r="AA84" s="49" t="s">
        <v>198</v>
      </c>
      <c r="AB84" s="50">
        <v>100</v>
      </c>
    </row>
    <row r="85" spans="3:28" ht="15" customHeight="1" x14ac:dyDescent="0.55000000000000004">
      <c r="C85" s="49"/>
      <c r="D85" s="50"/>
      <c r="E85" s="49"/>
      <c r="F85" s="50"/>
      <c r="G85" s="49"/>
      <c r="H85" s="50"/>
      <c r="I85" s="49"/>
      <c r="J85" s="50"/>
      <c r="K85" s="49" t="s">
        <v>199</v>
      </c>
      <c r="L85" s="50">
        <v>100</v>
      </c>
      <c r="M85" s="49" t="s">
        <v>199</v>
      </c>
      <c r="N85" s="50">
        <v>100</v>
      </c>
      <c r="O85" s="49" t="s">
        <v>199</v>
      </c>
      <c r="P85" s="50">
        <v>100</v>
      </c>
      <c r="Q85" s="49" t="s">
        <v>199</v>
      </c>
      <c r="R85" s="50">
        <v>100</v>
      </c>
      <c r="S85" s="49" t="s">
        <v>199</v>
      </c>
      <c r="T85" s="50">
        <v>100</v>
      </c>
      <c r="U85" s="49" t="s">
        <v>199</v>
      </c>
      <c r="V85" s="50">
        <v>100</v>
      </c>
      <c r="W85" s="49" t="s">
        <v>199</v>
      </c>
      <c r="X85" s="50">
        <v>100</v>
      </c>
      <c r="Y85" s="49" t="s">
        <v>199</v>
      </c>
      <c r="Z85" s="50">
        <v>100</v>
      </c>
      <c r="AA85" s="49" t="s">
        <v>199</v>
      </c>
      <c r="AB85" s="50">
        <v>100</v>
      </c>
    </row>
    <row r="86" spans="3:28" ht="15" customHeight="1" x14ac:dyDescent="0.55000000000000004">
      <c r="C86" s="49"/>
      <c r="D86" s="50"/>
      <c r="E86" s="49"/>
      <c r="F86" s="50"/>
      <c r="G86" s="49"/>
      <c r="H86" s="50"/>
      <c r="I86" s="49"/>
      <c r="J86" s="50"/>
      <c r="K86" s="49" t="s">
        <v>200</v>
      </c>
      <c r="L86" s="50">
        <v>100</v>
      </c>
      <c r="M86" s="49" t="s">
        <v>200</v>
      </c>
      <c r="N86" s="50">
        <v>100</v>
      </c>
      <c r="O86" s="49" t="s">
        <v>200</v>
      </c>
      <c r="P86" s="50">
        <v>100</v>
      </c>
      <c r="Q86" s="49" t="s">
        <v>200</v>
      </c>
      <c r="R86" s="50">
        <v>100</v>
      </c>
      <c r="S86" s="49" t="s">
        <v>200</v>
      </c>
      <c r="T86" s="50">
        <v>100</v>
      </c>
      <c r="U86" s="49" t="s">
        <v>200</v>
      </c>
      <c r="V86" s="50">
        <v>100</v>
      </c>
      <c r="W86" s="49" t="s">
        <v>200</v>
      </c>
      <c r="X86" s="50">
        <v>100</v>
      </c>
      <c r="Y86" s="49" t="s">
        <v>200</v>
      </c>
      <c r="Z86" s="50">
        <v>100</v>
      </c>
      <c r="AA86" s="49" t="s">
        <v>200</v>
      </c>
      <c r="AB86" s="50">
        <v>100</v>
      </c>
    </row>
    <row r="87" spans="3:28" ht="15" customHeight="1" x14ac:dyDescent="0.55000000000000004">
      <c r="C87" s="49"/>
      <c r="D87" s="50"/>
      <c r="E87" s="49"/>
      <c r="F87" s="50"/>
      <c r="G87" s="49"/>
      <c r="H87" s="50"/>
      <c r="I87" s="49"/>
      <c r="J87" s="50"/>
      <c r="K87" s="49" t="s">
        <v>201</v>
      </c>
      <c r="L87" s="50">
        <v>100</v>
      </c>
      <c r="M87" s="49" t="s">
        <v>201</v>
      </c>
      <c r="N87" s="50">
        <v>100</v>
      </c>
      <c r="O87" s="49" t="s">
        <v>201</v>
      </c>
      <c r="P87" s="50">
        <v>100</v>
      </c>
      <c r="Q87" s="49" t="s">
        <v>201</v>
      </c>
      <c r="R87" s="50">
        <v>100</v>
      </c>
      <c r="S87" s="49" t="s">
        <v>201</v>
      </c>
      <c r="T87" s="50">
        <v>100</v>
      </c>
      <c r="U87" s="49" t="s">
        <v>201</v>
      </c>
      <c r="V87" s="50">
        <v>100</v>
      </c>
      <c r="W87" s="49" t="s">
        <v>201</v>
      </c>
      <c r="X87" s="50">
        <v>100</v>
      </c>
      <c r="Y87" s="49" t="s">
        <v>201</v>
      </c>
      <c r="Z87" s="50">
        <v>100</v>
      </c>
      <c r="AA87" s="49" t="s">
        <v>201</v>
      </c>
      <c r="AB87" s="50">
        <v>100</v>
      </c>
    </row>
    <row r="88" spans="3:28" ht="15" customHeight="1" x14ac:dyDescent="0.55000000000000004">
      <c r="C88" s="49"/>
      <c r="D88" s="49"/>
      <c r="E88" s="49"/>
      <c r="F88" s="49"/>
      <c r="G88" s="49"/>
      <c r="H88" s="49"/>
      <c r="I88" s="49"/>
      <c r="J88" s="49"/>
      <c r="K88" s="49" t="s">
        <v>166</v>
      </c>
      <c r="L88" s="49">
        <v>200</v>
      </c>
      <c r="M88" s="49" t="s">
        <v>166</v>
      </c>
      <c r="N88" s="49">
        <v>200</v>
      </c>
      <c r="O88" s="49" t="s">
        <v>166</v>
      </c>
      <c r="P88" s="49">
        <v>200</v>
      </c>
      <c r="Q88" s="49" t="s">
        <v>166</v>
      </c>
      <c r="R88" s="49">
        <v>200</v>
      </c>
      <c r="S88" s="49" t="s">
        <v>166</v>
      </c>
      <c r="T88" s="49">
        <v>200</v>
      </c>
      <c r="U88" s="49" t="s">
        <v>166</v>
      </c>
      <c r="V88" s="49">
        <v>200</v>
      </c>
      <c r="W88" s="49" t="s">
        <v>166</v>
      </c>
      <c r="X88" s="49">
        <v>200</v>
      </c>
      <c r="Y88" s="49" t="s">
        <v>166</v>
      </c>
      <c r="Z88" s="49">
        <v>200</v>
      </c>
      <c r="AA88" s="56"/>
      <c r="AB88" s="57"/>
    </row>
    <row r="89" spans="3:28" ht="15" customHeight="1" x14ac:dyDescent="0.55000000000000004">
      <c r="C89" s="49"/>
      <c r="D89" s="49"/>
      <c r="E89" s="49"/>
      <c r="F89" s="49"/>
      <c r="G89" s="49"/>
      <c r="H89" s="49"/>
      <c r="I89" s="49"/>
      <c r="J89" s="49"/>
      <c r="K89" s="49" t="s">
        <v>167</v>
      </c>
      <c r="L89" s="49">
        <v>200</v>
      </c>
      <c r="M89" s="49" t="s">
        <v>167</v>
      </c>
      <c r="N89" s="49">
        <v>200</v>
      </c>
      <c r="O89" s="49" t="s">
        <v>167</v>
      </c>
      <c r="P89" s="49">
        <v>200</v>
      </c>
      <c r="Q89" s="49" t="s">
        <v>167</v>
      </c>
      <c r="R89" s="49">
        <v>200</v>
      </c>
      <c r="S89" s="49" t="s">
        <v>167</v>
      </c>
      <c r="T89" s="49">
        <v>200</v>
      </c>
      <c r="U89" s="49" t="s">
        <v>167</v>
      </c>
      <c r="V89" s="49">
        <v>200</v>
      </c>
      <c r="W89" s="49" t="s">
        <v>167</v>
      </c>
      <c r="X89" s="49">
        <v>200</v>
      </c>
      <c r="Y89" s="49" t="s">
        <v>167</v>
      </c>
      <c r="Z89" s="49">
        <v>200</v>
      </c>
      <c r="AA89" s="56"/>
      <c r="AB89" s="57"/>
    </row>
    <row r="90" spans="3:28" ht="15" customHeight="1" x14ac:dyDescent="0.55000000000000004">
      <c r="C90" s="49"/>
      <c r="D90" s="49"/>
      <c r="E90" s="49"/>
      <c r="F90" s="49"/>
      <c r="G90" s="49"/>
      <c r="H90" s="49"/>
      <c r="I90" s="49"/>
      <c r="J90" s="49"/>
      <c r="K90" s="49" t="s">
        <v>202</v>
      </c>
      <c r="L90" s="49">
        <v>80</v>
      </c>
      <c r="M90" s="49" t="s">
        <v>202</v>
      </c>
      <c r="N90" s="49">
        <v>80</v>
      </c>
      <c r="O90" s="49" t="s">
        <v>202</v>
      </c>
      <c r="P90" s="49">
        <v>80</v>
      </c>
      <c r="Q90" s="49" t="s">
        <v>202</v>
      </c>
      <c r="R90" s="49">
        <v>80</v>
      </c>
      <c r="S90" s="49" t="s">
        <v>202</v>
      </c>
      <c r="T90" s="49">
        <v>80</v>
      </c>
      <c r="U90" s="49" t="s">
        <v>202</v>
      </c>
      <c r="V90" s="49">
        <v>80</v>
      </c>
      <c r="W90" s="49" t="s">
        <v>202</v>
      </c>
      <c r="X90" s="49">
        <v>80</v>
      </c>
      <c r="Y90" s="49" t="s">
        <v>202</v>
      </c>
      <c r="Z90" s="49">
        <v>80</v>
      </c>
      <c r="AA90" s="49" t="s">
        <v>202</v>
      </c>
      <c r="AB90" s="49">
        <v>80</v>
      </c>
    </row>
    <row r="91" spans="3:28" ht="15" customHeight="1" x14ac:dyDescent="0.55000000000000004"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3:28" ht="15" customHeight="1" x14ac:dyDescent="0.55000000000000004">
      <c r="C92" s="45">
        <f>COUNTA(C60:C91)</f>
        <v>14</v>
      </c>
      <c r="D92" s="45">
        <f>SUM(D60:D91)</f>
        <v>2665</v>
      </c>
      <c r="E92" s="45">
        <f>COUNTA(E60:E91)</f>
        <v>18</v>
      </c>
      <c r="F92" s="45">
        <f>SUM(F60:F91)</f>
        <v>3395</v>
      </c>
      <c r="G92" s="45">
        <f>COUNTA(G60:G91)</f>
        <v>19</v>
      </c>
      <c r="H92" s="45">
        <f>SUM(H60:H91)</f>
        <v>3595</v>
      </c>
      <c r="I92" s="45">
        <f>COUNTA(I60:I91)</f>
        <v>19</v>
      </c>
      <c r="J92" s="45">
        <f>SUM(J60:J91)</f>
        <v>3595</v>
      </c>
      <c r="K92" s="45">
        <f>COUNTA(K60:K91)</f>
        <v>30</v>
      </c>
      <c r="L92" s="45">
        <f>SUM(L60:L91)</f>
        <v>4810</v>
      </c>
      <c r="M92" s="45">
        <f>COUNTA(M60:M91)</f>
        <v>30</v>
      </c>
      <c r="N92" s="45">
        <f>SUM(N60:N91)</f>
        <v>4810</v>
      </c>
      <c r="O92" s="45">
        <f>COUNTA(O60:O91)</f>
        <v>30</v>
      </c>
      <c r="P92" s="45">
        <f>SUM(P60:P91)</f>
        <v>5310</v>
      </c>
      <c r="Q92" s="45">
        <f>COUNTA(Q60:Q91)</f>
        <v>29</v>
      </c>
      <c r="R92" s="45">
        <f>SUM(R60:R91)</f>
        <v>5110</v>
      </c>
      <c r="S92" s="45">
        <f>COUNTA(S60:S91)</f>
        <v>29</v>
      </c>
      <c r="T92" s="45">
        <f>SUM(T60:T91)</f>
        <v>5110</v>
      </c>
      <c r="U92" s="45">
        <f>COUNTA(U60:U91)</f>
        <v>29</v>
      </c>
      <c r="V92" s="45">
        <f>SUM(V60:V91)</f>
        <v>5110</v>
      </c>
      <c r="W92" s="45">
        <f>COUNTA(W60:W91)</f>
        <v>29</v>
      </c>
      <c r="X92" s="45">
        <f>SUM(X60:X91)</f>
        <v>4925</v>
      </c>
      <c r="Y92" s="45">
        <f>COUNTA(Y60:Y91)</f>
        <v>27</v>
      </c>
      <c r="Z92" s="45">
        <f>SUM(Z60:Z91)</f>
        <v>4745</v>
      </c>
      <c r="AA92" s="45">
        <f>COUNTA(AA60:AA91)</f>
        <v>25</v>
      </c>
      <c r="AB92" s="45">
        <f>SUM(AB60:AB91)</f>
        <v>4345</v>
      </c>
    </row>
  </sheetData>
  <mergeCells count="206">
    <mergeCell ref="U59:V59"/>
    <mergeCell ref="W59:X59"/>
    <mergeCell ref="Y59:Z59"/>
    <mergeCell ref="AA59:AB59"/>
    <mergeCell ref="C59:D59"/>
    <mergeCell ref="E59:F59"/>
    <mergeCell ref="G59:H59"/>
    <mergeCell ref="I59:J59"/>
    <mergeCell ref="K59:L59"/>
    <mergeCell ref="M59:N59"/>
    <mergeCell ref="O59:P59"/>
    <mergeCell ref="Q59:R59"/>
    <mergeCell ref="S59:T59"/>
    <mergeCell ref="U55:V55"/>
    <mergeCell ref="W55:X55"/>
    <mergeCell ref="Y55:Z55"/>
    <mergeCell ref="AA55:AB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K54:L54"/>
    <mergeCell ref="M54:N54"/>
    <mergeCell ref="O54:P54"/>
    <mergeCell ref="Q54:R54"/>
    <mergeCell ref="S54:T54"/>
    <mergeCell ref="S55:T55"/>
    <mergeCell ref="Q53:R53"/>
    <mergeCell ref="U54:V54"/>
    <mergeCell ref="W54:X54"/>
    <mergeCell ref="Y54:Z54"/>
    <mergeCell ref="AA54:AB54"/>
    <mergeCell ref="Q52:R52"/>
    <mergeCell ref="S52:T52"/>
    <mergeCell ref="U52:V52"/>
    <mergeCell ref="W52:X52"/>
    <mergeCell ref="Y52:Z52"/>
    <mergeCell ref="AA52:AB52"/>
    <mergeCell ref="S53:T53"/>
    <mergeCell ref="U53:V53"/>
    <mergeCell ref="W53:X53"/>
    <mergeCell ref="Y53:Z53"/>
    <mergeCell ref="AA53:AB53"/>
    <mergeCell ref="A52:B52"/>
    <mergeCell ref="C52:D52"/>
    <mergeCell ref="E52:F52"/>
    <mergeCell ref="G52:H52"/>
    <mergeCell ref="I52:J52"/>
    <mergeCell ref="K52:L52"/>
    <mergeCell ref="M52:N52"/>
    <mergeCell ref="O52:P52"/>
    <mergeCell ref="A54:B54"/>
    <mergeCell ref="C54:D54"/>
    <mergeCell ref="E54:F54"/>
    <mergeCell ref="G54:H54"/>
    <mergeCell ref="I54:J54"/>
    <mergeCell ref="A53:B53"/>
    <mergeCell ref="C53:D53"/>
    <mergeCell ref="E53:F53"/>
    <mergeCell ref="G53:H53"/>
    <mergeCell ref="I53:J53"/>
    <mergeCell ref="K53:L53"/>
    <mergeCell ref="M53:N53"/>
    <mergeCell ref="O53:P53"/>
    <mergeCell ref="Y11:Z11"/>
    <mergeCell ref="AA11:AB11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Q11:R11"/>
    <mergeCell ref="S11:T11"/>
    <mergeCell ref="U11:V11"/>
    <mergeCell ref="Y2:Z2"/>
    <mergeCell ref="Y3:Z3"/>
    <mergeCell ref="Y4:Z4"/>
    <mergeCell ref="Y5:Z5"/>
    <mergeCell ref="Y6:Z6"/>
    <mergeCell ref="Y8:Z8"/>
    <mergeCell ref="AA2:AB2"/>
    <mergeCell ref="AA3:AB3"/>
    <mergeCell ref="AA4:AB4"/>
    <mergeCell ref="AA5:AB5"/>
    <mergeCell ref="AA6:AB6"/>
    <mergeCell ref="AA8:AB8"/>
    <mergeCell ref="W2:X2"/>
    <mergeCell ref="W3:X3"/>
    <mergeCell ref="W4:X4"/>
    <mergeCell ref="W5:X5"/>
    <mergeCell ref="W6:X6"/>
    <mergeCell ref="W8:X8"/>
    <mergeCell ref="W11:X11"/>
    <mergeCell ref="S2:T2"/>
    <mergeCell ref="S3:T3"/>
    <mergeCell ref="S4:T4"/>
    <mergeCell ref="S5:T5"/>
    <mergeCell ref="S6:T6"/>
    <mergeCell ref="S8:T8"/>
    <mergeCell ref="U2:V2"/>
    <mergeCell ref="U3:V3"/>
    <mergeCell ref="U4:V4"/>
    <mergeCell ref="U5:V5"/>
    <mergeCell ref="U6:V6"/>
    <mergeCell ref="U8:V8"/>
    <mergeCell ref="Q8:R8"/>
    <mergeCell ref="Q2:R2"/>
    <mergeCell ref="Q3:R3"/>
    <mergeCell ref="Q4:R4"/>
    <mergeCell ref="Q5:R5"/>
    <mergeCell ref="Q6:R6"/>
    <mergeCell ref="E11:F11"/>
    <mergeCell ref="G11:H11"/>
    <mergeCell ref="I11:J11"/>
    <mergeCell ref="K11:L11"/>
    <mergeCell ref="M11:N11"/>
    <mergeCell ref="O11:P11"/>
    <mergeCell ref="O2:P2"/>
    <mergeCell ref="O3:P3"/>
    <mergeCell ref="O4:P4"/>
    <mergeCell ref="O5:P5"/>
    <mergeCell ref="O6:P6"/>
    <mergeCell ref="O8:P8"/>
    <mergeCell ref="K2:L2"/>
    <mergeCell ref="K3:L3"/>
    <mergeCell ref="K4:L4"/>
    <mergeCell ref="K5:L5"/>
    <mergeCell ref="K6:L6"/>
    <mergeCell ref="K8:L8"/>
    <mergeCell ref="M5:N5"/>
    <mergeCell ref="M6:N6"/>
    <mergeCell ref="M8:N8"/>
    <mergeCell ref="G2:H2"/>
    <mergeCell ref="G3:H3"/>
    <mergeCell ref="G5:H5"/>
    <mergeCell ref="G4:H4"/>
    <mergeCell ref="G6:H6"/>
    <mergeCell ref="G8:H8"/>
    <mergeCell ref="I2:J2"/>
    <mergeCell ref="I3:J3"/>
    <mergeCell ref="I5:J5"/>
    <mergeCell ref="I4:J4"/>
    <mergeCell ref="I6:J6"/>
    <mergeCell ref="I8:J8"/>
    <mergeCell ref="A3:B3"/>
    <mergeCell ref="A4:B4"/>
    <mergeCell ref="A5:B5"/>
    <mergeCell ref="A6:B6"/>
    <mergeCell ref="A8:B8"/>
    <mergeCell ref="C11:D11"/>
    <mergeCell ref="A2:B2"/>
    <mergeCell ref="AD62:AE62"/>
    <mergeCell ref="AF62:AG62"/>
    <mergeCell ref="C2:D2"/>
    <mergeCell ref="C3:D3"/>
    <mergeCell ref="C4:D4"/>
    <mergeCell ref="C5:D5"/>
    <mergeCell ref="C6:D6"/>
    <mergeCell ref="C8:D8"/>
    <mergeCell ref="E2:F2"/>
    <mergeCell ref="E3:F3"/>
    <mergeCell ref="E4:F4"/>
    <mergeCell ref="E5:F5"/>
    <mergeCell ref="E6:F6"/>
    <mergeCell ref="E8:F8"/>
    <mergeCell ref="M2:N2"/>
    <mergeCell ref="M3:N3"/>
    <mergeCell ref="M4:N4"/>
    <mergeCell ref="AZ62:BA62"/>
    <mergeCell ref="BB62:BC62"/>
    <mergeCell ref="AH62:AI62"/>
    <mergeCell ref="AJ62:AK62"/>
    <mergeCell ref="AL62:AM62"/>
    <mergeCell ref="AN62:AO62"/>
    <mergeCell ref="AP62:AQ62"/>
    <mergeCell ref="AR62:AS62"/>
    <mergeCell ref="AT62:AU62"/>
    <mergeCell ref="AV62:AW62"/>
    <mergeCell ref="AX62:AY62"/>
  </mergeCells>
  <phoneticPr fontId="2"/>
  <pageMargins left="0.25" right="0.25" top="0.75" bottom="0.75" header="0.3" footer="0.3"/>
  <pageSetup paperSize="9" scale="3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83EB-174B-4E5A-8E89-9E6837BB4A21}">
  <sheetPr>
    <pageSetUpPr fitToPage="1"/>
  </sheetPr>
  <dimension ref="A1:AP130"/>
  <sheetViews>
    <sheetView workbookViewId="0">
      <selection activeCell="AP88" sqref="AP88"/>
    </sheetView>
  </sheetViews>
  <sheetFormatPr defaultRowHeight="18" x14ac:dyDescent="0.55000000000000004"/>
  <cols>
    <col min="1" max="4" width="4.58203125" customWidth="1"/>
    <col min="5" max="7" width="4.58203125" style="1" customWidth="1"/>
    <col min="8" max="41" width="4.58203125" customWidth="1"/>
    <col min="42" max="42" width="35.4140625" customWidth="1"/>
  </cols>
  <sheetData>
    <row r="1" spans="1:42" x14ac:dyDescent="0.55000000000000004">
      <c r="A1" s="43" t="s">
        <v>208</v>
      </c>
    </row>
    <row r="2" spans="1:42" x14ac:dyDescent="0.55000000000000004">
      <c r="A2" s="283" t="s">
        <v>1</v>
      </c>
      <c r="B2" s="283"/>
      <c r="C2" s="262" t="s">
        <v>4</v>
      </c>
      <c r="D2" s="284"/>
      <c r="E2" s="263"/>
      <c r="F2" s="262" t="s">
        <v>5</v>
      </c>
      <c r="G2" s="284"/>
      <c r="H2" s="263"/>
      <c r="I2" s="262" t="s">
        <v>6</v>
      </c>
      <c r="J2" s="284"/>
      <c r="K2" s="263"/>
      <c r="L2" s="262" t="s">
        <v>7</v>
      </c>
      <c r="M2" s="284"/>
      <c r="N2" s="263"/>
      <c r="O2" s="262" t="s">
        <v>8</v>
      </c>
      <c r="P2" s="284"/>
      <c r="Q2" s="263"/>
      <c r="R2" s="262" t="s">
        <v>10</v>
      </c>
      <c r="S2" s="284"/>
      <c r="T2" s="263"/>
      <c r="U2" s="262" t="s">
        <v>11</v>
      </c>
      <c r="V2" s="284"/>
      <c r="W2" s="263"/>
      <c r="X2" s="262" t="s">
        <v>12</v>
      </c>
      <c r="Y2" s="284"/>
      <c r="Z2" s="263"/>
      <c r="AA2" s="262" t="s">
        <v>13</v>
      </c>
      <c r="AB2" s="284"/>
      <c r="AC2" s="263"/>
      <c r="AD2" s="262" t="s">
        <v>14</v>
      </c>
      <c r="AE2" s="284"/>
      <c r="AF2" s="263"/>
      <c r="AG2" s="262" t="s">
        <v>15</v>
      </c>
      <c r="AH2" s="284"/>
      <c r="AI2" s="263"/>
      <c r="AJ2" s="262" t="s">
        <v>16</v>
      </c>
      <c r="AK2" s="284"/>
      <c r="AL2" s="263"/>
      <c r="AM2" s="262" t="s">
        <v>4</v>
      </c>
      <c r="AN2" s="284"/>
      <c r="AO2" s="263"/>
    </row>
    <row r="3" spans="1:42" ht="18.5" thickBot="1" x14ac:dyDescent="0.6">
      <c r="A3" s="255" t="s">
        <v>153</v>
      </c>
      <c r="B3" s="255"/>
      <c r="C3" s="264">
        <v>4</v>
      </c>
      <c r="D3" s="282"/>
      <c r="E3" s="265"/>
      <c r="F3" s="264">
        <v>4</v>
      </c>
      <c r="G3" s="282"/>
      <c r="H3" s="265"/>
      <c r="I3" s="264">
        <v>4</v>
      </c>
      <c r="J3" s="282"/>
      <c r="K3" s="265"/>
      <c r="L3" s="264">
        <v>4</v>
      </c>
      <c r="M3" s="282"/>
      <c r="N3" s="265"/>
      <c r="O3" s="264">
        <v>4</v>
      </c>
      <c r="P3" s="282"/>
      <c r="Q3" s="265"/>
      <c r="R3" s="264">
        <v>4</v>
      </c>
      <c r="S3" s="282"/>
      <c r="T3" s="265"/>
      <c r="U3" s="264">
        <v>4</v>
      </c>
      <c r="V3" s="282"/>
      <c r="W3" s="265"/>
      <c r="X3" s="264">
        <v>4</v>
      </c>
      <c r="Y3" s="282"/>
      <c r="Z3" s="265"/>
      <c r="AA3" s="264">
        <v>4</v>
      </c>
      <c r="AB3" s="282"/>
      <c r="AC3" s="265"/>
      <c r="AD3" s="264">
        <v>4</v>
      </c>
      <c r="AE3" s="282"/>
      <c r="AF3" s="265"/>
      <c r="AG3" s="264">
        <v>4</v>
      </c>
      <c r="AH3" s="282"/>
      <c r="AI3" s="265"/>
      <c r="AJ3" s="264">
        <v>4</v>
      </c>
      <c r="AK3" s="282"/>
      <c r="AL3" s="265"/>
      <c r="AM3" s="264">
        <v>4</v>
      </c>
      <c r="AN3" s="282"/>
      <c r="AO3" s="265"/>
    </row>
    <row r="4" spans="1:42" ht="18.5" thickBot="1" x14ac:dyDescent="0.6">
      <c r="A4" s="256" t="s">
        <v>31</v>
      </c>
      <c r="B4" s="257"/>
      <c r="C4" s="266">
        <f>C17</f>
        <v>4</v>
      </c>
      <c r="D4" s="275"/>
      <c r="E4" s="267"/>
      <c r="F4" s="266">
        <f>F17</f>
        <v>3</v>
      </c>
      <c r="G4" s="275"/>
      <c r="H4" s="267"/>
      <c r="I4" s="266">
        <f>I17</f>
        <v>3</v>
      </c>
      <c r="J4" s="275"/>
      <c r="K4" s="267"/>
      <c r="L4" s="266">
        <f>L17</f>
        <v>5</v>
      </c>
      <c r="M4" s="275"/>
      <c r="N4" s="267"/>
      <c r="O4" s="266">
        <f>O17</f>
        <v>4</v>
      </c>
      <c r="P4" s="275"/>
      <c r="Q4" s="267"/>
      <c r="R4" s="266">
        <f>R17</f>
        <v>4</v>
      </c>
      <c r="S4" s="275"/>
      <c r="T4" s="267"/>
      <c r="U4" s="266">
        <f>U17</f>
        <v>3</v>
      </c>
      <c r="V4" s="275"/>
      <c r="W4" s="267"/>
      <c r="X4" s="266">
        <f>X17</f>
        <v>3</v>
      </c>
      <c r="Y4" s="275"/>
      <c r="Z4" s="267"/>
      <c r="AA4" s="266">
        <f>AA17</f>
        <v>3</v>
      </c>
      <c r="AB4" s="275"/>
      <c r="AC4" s="267"/>
      <c r="AD4" s="266">
        <f>AD17</f>
        <v>3</v>
      </c>
      <c r="AE4" s="275"/>
      <c r="AF4" s="267"/>
      <c r="AG4" s="266">
        <f>AG17</f>
        <v>3</v>
      </c>
      <c r="AH4" s="275"/>
      <c r="AI4" s="267"/>
      <c r="AJ4" s="266">
        <f>AJ17</f>
        <v>1</v>
      </c>
      <c r="AK4" s="275"/>
      <c r="AL4" s="274"/>
      <c r="AM4" s="275">
        <f>AM17</f>
        <v>1</v>
      </c>
      <c r="AN4" s="275"/>
      <c r="AO4" s="276"/>
    </row>
    <row r="5" spans="1:42" x14ac:dyDescent="0.55000000000000004">
      <c r="A5" s="258" t="s">
        <v>169</v>
      </c>
      <c r="B5" s="258"/>
      <c r="C5" s="268">
        <f>C3-C4</f>
        <v>0</v>
      </c>
      <c r="D5" s="292"/>
      <c r="E5" s="269"/>
      <c r="F5" s="268">
        <f>F4-F3</f>
        <v>-1</v>
      </c>
      <c r="G5" s="292"/>
      <c r="H5" s="269"/>
      <c r="I5" s="268">
        <f>I4-I3</f>
        <v>-1</v>
      </c>
      <c r="J5" s="292"/>
      <c r="K5" s="269"/>
      <c r="L5" s="268">
        <f>L4-L3</f>
        <v>1</v>
      </c>
      <c r="M5" s="292"/>
      <c r="N5" s="269"/>
      <c r="O5" s="268">
        <f>O4-O3</f>
        <v>0</v>
      </c>
      <c r="P5" s="292"/>
      <c r="Q5" s="269"/>
      <c r="R5" s="268">
        <f>R4-R3</f>
        <v>0</v>
      </c>
      <c r="S5" s="292"/>
      <c r="T5" s="269"/>
      <c r="U5" s="268">
        <f>U4-U3</f>
        <v>-1</v>
      </c>
      <c r="V5" s="292"/>
      <c r="W5" s="269"/>
      <c r="X5" s="268">
        <f>X4-X3</f>
        <v>-1</v>
      </c>
      <c r="Y5" s="292"/>
      <c r="Z5" s="269"/>
      <c r="AA5" s="268">
        <f>AA4-AA3</f>
        <v>-1</v>
      </c>
      <c r="AB5" s="292"/>
      <c r="AC5" s="269"/>
      <c r="AD5" s="268">
        <f>AD4-AD3</f>
        <v>-1</v>
      </c>
      <c r="AE5" s="292"/>
      <c r="AF5" s="269"/>
      <c r="AG5" s="268">
        <f>AG4-AG3</f>
        <v>-1</v>
      </c>
      <c r="AH5" s="292"/>
      <c r="AI5" s="269"/>
      <c r="AJ5" s="268">
        <f>AJ4-AJ3</f>
        <v>-3</v>
      </c>
      <c r="AK5" s="292"/>
      <c r="AL5" s="269"/>
      <c r="AM5" s="268">
        <f>AM4-AM3</f>
        <v>-3</v>
      </c>
      <c r="AN5" s="292"/>
      <c r="AO5" s="269"/>
    </row>
    <row r="6" spans="1:42" x14ac:dyDescent="0.55000000000000004">
      <c r="A6" s="259" t="s">
        <v>17</v>
      </c>
      <c r="B6" s="259"/>
      <c r="C6" s="270">
        <f>E17</f>
        <v>590</v>
      </c>
      <c r="D6" s="280"/>
      <c r="E6" s="271"/>
      <c r="F6" s="270">
        <f>H17</f>
        <v>460</v>
      </c>
      <c r="G6" s="280"/>
      <c r="H6" s="271"/>
      <c r="I6" s="270">
        <f>K17</f>
        <v>460</v>
      </c>
      <c r="J6" s="280"/>
      <c r="K6" s="271"/>
      <c r="L6" s="270">
        <f>N17</f>
        <v>755</v>
      </c>
      <c r="M6" s="280"/>
      <c r="N6" s="271"/>
      <c r="O6" s="270">
        <f>Q17</f>
        <v>625</v>
      </c>
      <c r="P6" s="280"/>
      <c r="Q6" s="271"/>
      <c r="R6" s="270">
        <f>T17</f>
        <v>625</v>
      </c>
      <c r="S6" s="280"/>
      <c r="T6" s="271"/>
      <c r="U6" s="270">
        <f>W17</f>
        <v>495</v>
      </c>
      <c r="V6" s="280"/>
      <c r="W6" s="271"/>
      <c r="X6" s="270">
        <f>Z17</f>
        <v>495</v>
      </c>
      <c r="Y6" s="280"/>
      <c r="Z6" s="271"/>
      <c r="AA6" s="270">
        <f>AC17</f>
        <v>495</v>
      </c>
      <c r="AB6" s="280"/>
      <c r="AC6" s="271"/>
      <c r="AD6" s="270">
        <f>AF17</f>
        <v>495</v>
      </c>
      <c r="AE6" s="280"/>
      <c r="AF6" s="271"/>
      <c r="AG6" s="270">
        <f>AI17</f>
        <v>495</v>
      </c>
      <c r="AH6" s="280"/>
      <c r="AI6" s="271"/>
      <c r="AJ6" s="270">
        <f>AL17</f>
        <v>165</v>
      </c>
      <c r="AK6" s="280"/>
      <c r="AL6" s="271"/>
      <c r="AM6" s="270">
        <f>AO17</f>
        <v>165</v>
      </c>
      <c r="AN6" s="280"/>
      <c r="AO6" s="271"/>
      <c r="AP6" s="1"/>
    </row>
    <row r="7" spans="1:42" s="44" customFormat="1" ht="10" customHeight="1" x14ac:dyDescent="0.55000000000000004">
      <c r="A7" s="55"/>
      <c r="B7" s="55"/>
    </row>
    <row r="8" spans="1:42" x14ac:dyDescent="0.55000000000000004">
      <c r="A8" s="259" t="s">
        <v>84</v>
      </c>
      <c r="B8" s="259"/>
      <c r="C8" s="272">
        <f>C27</f>
        <v>6</v>
      </c>
      <c r="D8" s="291"/>
      <c r="E8" s="273"/>
      <c r="F8" s="272">
        <f>F27</f>
        <v>5</v>
      </c>
      <c r="G8" s="291"/>
      <c r="H8" s="273"/>
      <c r="I8" s="272">
        <f>I27</f>
        <v>5</v>
      </c>
      <c r="J8" s="291"/>
      <c r="K8" s="273"/>
      <c r="L8" s="272">
        <f>L27</f>
        <v>4</v>
      </c>
      <c r="M8" s="291"/>
      <c r="N8" s="273"/>
      <c r="O8" s="272">
        <f>O27</f>
        <v>4</v>
      </c>
      <c r="P8" s="291"/>
      <c r="Q8" s="273"/>
      <c r="R8" s="272">
        <f>R27</f>
        <v>3</v>
      </c>
      <c r="S8" s="291"/>
      <c r="T8" s="273"/>
      <c r="U8" s="272">
        <f>U27</f>
        <v>3</v>
      </c>
      <c r="V8" s="291"/>
      <c r="W8" s="273"/>
      <c r="X8" s="272">
        <f>X27</f>
        <v>3</v>
      </c>
      <c r="Y8" s="291"/>
      <c r="Z8" s="273"/>
      <c r="AA8" s="272">
        <f>AA27</f>
        <v>3</v>
      </c>
      <c r="AB8" s="291"/>
      <c r="AC8" s="273"/>
      <c r="AD8" s="272">
        <f>AD27</f>
        <v>3</v>
      </c>
      <c r="AE8" s="291"/>
      <c r="AF8" s="273"/>
      <c r="AG8" s="272">
        <f>AG27</f>
        <v>3</v>
      </c>
      <c r="AH8" s="291"/>
      <c r="AI8" s="273"/>
      <c r="AJ8" s="272">
        <f>AJ27</f>
        <v>3</v>
      </c>
      <c r="AK8" s="291"/>
      <c r="AL8" s="273"/>
      <c r="AM8" s="272">
        <f>AM27</f>
        <v>3</v>
      </c>
      <c r="AN8" s="291"/>
      <c r="AO8" s="273"/>
      <c r="AP8" s="44"/>
    </row>
    <row r="9" spans="1:42" ht="14.5" customHeight="1" x14ac:dyDescent="0.55000000000000004">
      <c r="L9" s="54"/>
      <c r="M9" s="54"/>
      <c r="AP9" s="44"/>
    </row>
    <row r="10" spans="1:42" ht="15" customHeight="1" x14ac:dyDescent="0.55000000000000004">
      <c r="C10" s="26" t="s">
        <v>209</v>
      </c>
      <c r="D10" s="26"/>
      <c r="AD10" s="27" t="s">
        <v>172</v>
      </c>
      <c r="AE10" s="27"/>
      <c r="AF10" s="27"/>
      <c r="AG10" s="27"/>
      <c r="AH10" s="27"/>
      <c r="AI10" s="27"/>
      <c r="AJ10" s="27"/>
      <c r="AK10" s="27"/>
      <c r="AL10" s="27"/>
      <c r="AP10" s="44"/>
    </row>
    <row r="11" spans="1:42" ht="15" customHeight="1" x14ac:dyDescent="0.55000000000000004">
      <c r="C11" s="253" t="s">
        <v>4</v>
      </c>
      <c r="D11" s="279"/>
      <c r="E11" s="260"/>
      <c r="F11" s="253" t="s">
        <v>5</v>
      </c>
      <c r="G11" s="279"/>
      <c r="H11" s="260"/>
      <c r="I11" s="253" t="s">
        <v>6</v>
      </c>
      <c r="J11" s="279"/>
      <c r="K11" s="260"/>
      <c r="L11" s="253" t="s">
        <v>7</v>
      </c>
      <c r="M11" s="279"/>
      <c r="N11" s="260"/>
      <c r="O11" s="253" t="s">
        <v>8</v>
      </c>
      <c r="P11" s="279"/>
      <c r="Q11" s="260"/>
      <c r="R11" s="253" t="s">
        <v>10</v>
      </c>
      <c r="S11" s="279"/>
      <c r="T11" s="260"/>
      <c r="U11" s="253" t="s">
        <v>11</v>
      </c>
      <c r="V11" s="279"/>
      <c r="W11" s="260"/>
      <c r="X11" s="253" t="s">
        <v>12</v>
      </c>
      <c r="Y11" s="279"/>
      <c r="Z11" s="260"/>
      <c r="AA11" s="253" t="s">
        <v>13</v>
      </c>
      <c r="AB11" s="279"/>
      <c r="AC11" s="260"/>
      <c r="AD11" s="253" t="s">
        <v>14</v>
      </c>
      <c r="AE11" s="279"/>
      <c r="AF11" s="260"/>
      <c r="AG11" s="253" t="s">
        <v>15</v>
      </c>
      <c r="AH11" s="279"/>
      <c r="AI11" s="260"/>
      <c r="AJ11" s="253" t="s">
        <v>16</v>
      </c>
      <c r="AK11" s="279"/>
      <c r="AL11" s="260"/>
      <c r="AM11" s="253" t="s">
        <v>4</v>
      </c>
      <c r="AN11" s="279"/>
      <c r="AO11" s="260"/>
    </row>
    <row r="12" spans="1:42" ht="15" customHeight="1" x14ac:dyDescent="0.55000000000000004">
      <c r="C12" s="59" t="s">
        <v>123</v>
      </c>
      <c r="D12" s="59"/>
      <c r="E12" s="59">
        <v>130</v>
      </c>
      <c r="F12" s="59" t="s">
        <v>123</v>
      </c>
      <c r="G12" s="59"/>
      <c r="H12" s="59">
        <v>130</v>
      </c>
      <c r="I12" s="59" t="s">
        <v>123</v>
      </c>
      <c r="J12" s="59"/>
      <c r="K12" s="59">
        <v>130</v>
      </c>
      <c r="L12" s="59" t="s">
        <v>123</v>
      </c>
      <c r="M12" s="59"/>
      <c r="N12" s="59">
        <v>130</v>
      </c>
      <c r="O12" s="59" t="s">
        <v>124</v>
      </c>
      <c r="P12" s="59"/>
      <c r="Q12" s="59">
        <v>165</v>
      </c>
      <c r="R12" s="59" t="s">
        <v>124</v>
      </c>
      <c r="S12" s="59"/>
      <c r="T12" s="59">
        <v>165</v>
      </c>
      <c r="U12" s="59" t="s">
        <v>124</v>
      </c>
      <c r="V12" s="59"/>
      <c r="W12" s="59">
        <v>165</v>
      </c>
      <c r="X12" s="59" t="s">
        <v>124</v>
      </c>
      <c r="Y12" s="59"/>
      <c r="Z12" s="59">
        <v>165</v>
      </c>
      <c r="AA12" s="59" t="s">
        <v>124</v>
      </c>
      <c r="AB12" s="59"/>
      <c r="AC12" s="59">
        <v>165</v>
      </c>
      <c r="AD12" s="59" t="s">
        <v>124</v>
      </c>
      <c r="AE12" s="59"/>
      <c r="AF12" s="59">
        <v>165</v>
      </c>
      <c r="AG12" s="59" t="s">
        <v>124</v>
      </c>
      <c r="AH12" s="59"/>
      <c r="AI12" s="59">
        <v>165</v>
      </c>
      <c r="AJ12" s="59" t="s">
        <v>124</v>
      </c>
      <c r="AK12" s="59"/>
      <c r="AL12" s="59">
        <v>165</v>
      </c>
      <c r="AM12" s="59" t="s">
        <v>124</v>
      </c>
      <c r="AN12" s="59"/>
      <c r="AO12" s="59">
        <v>165</v>
      </c>
    </row>
    <row r="13" spans="1:42" ht="15" customHeight="1" x14ac:dyDescent="0.55000000000000004">
      <c r="C13" s="59" t="s">
        <v>124</v>
      </c>
      <c r="D13" s="59"/>
      <c r="E13" s="59">
        <v>165</v>
      </c>
      <c r="F13" s="59" t="s">
        <v>124</v>
      </c>
      <c r="G13" s="59"/>
      <c r="H13" s="59">
        <v>165</v>
      </c>
      <c r="I13" s="59" t="s">
        <v>124</v>
      </c>
      <c r="J13" s="59"/>
      <c r="K13" s="59">
        <v>165</v>
      </c>
      <c r="L13" s="59" t="s">
        <v>124</v>
      </c>
      <c r="M13" s="59"/>
      <c r="N13" s="59">
        <v>165</v>
      </c>
      <c r="O13" s="59" t="s">
        <v>210</v>
      </c>
      <c r="P13" s="59"/>
      <c r="Q13" s="59">
        <v>130</v>
      </c>
      <c r="R13" s="59" t="s">
        <v>210</v>
      </c>
      <c r="S13" s="59"/>
      <c r="T13" s="59">
        <v>130</v>
      </c>
      <c r="U13" s="59" t="s">
        <v>212</v>
      </c>
      <c r="V13" s="59"/>
      <c r="W13" s="59">
        <v>165</v>
      </c>
      <c r="X13" s="59" t="s">
        <v>212</v>
      </c>
      <c r="Y13" s="59"/>
      <c r="Z13" s="59">
        <v>165</v>
      </c>
      <c r="AA13" s="59" t="s">
        <v>212</v>
      </c>
      <c r="AB13" s="59"/>
      <c r="AC13" s="59">
        <v>165</v>
      </c>
      <c r="AD13" s="59" t="s">
        <v>212</v>
      </c>
      <c r="AE13" s="59"/>
      <c r="AF13" s="59">
        <v>165</v>
      </c>
      <c r="AG13" s="59" t="s">
        <v>212</v>
      </c>
      <c r="AH13" s="59"/>
      <c r="AI13" s="59">
        <v>165</v>
      </c>
      <c r="AJ13" s="59"/>
      <c r="AK13" s="59"/>
      <c r="AL13" s="59"/>
      <c r="AM13" s="59"/>
      <c r="AN13" s="59"/>
      <c r="AO13" s="59"/>
    </row>
    <row r="14" spans="1:42" ht="15" customHeight="1" x14ac:dyDescent="0.55000000000000004">
      <c r="C14" s="59" t="s">
        <v>210</v>
      </c>
      <c r="D14" s="59"/>
      <c r="E14" s="59">
        <v>165</v>
      </c>
      <c r="F14" s="59" t="s">
        <v>212</v>
      </c>
      <c r="G14" s="59"/>
      <c r="H14" s="59">
        <v>165</v>
      </c>
      <c r="I14" s="59" t="s">
        <v>212</v>
      </c>
      <c r="J14" s="59"/>
      <c r="K14" s="59">
        <v>165</v>
      </c>
      <c r="L14" s="59" t="s">
        <v>212</v>
      </c>
      <c r="M14" s="59"/>
      <c r="N14" s="59">
        <v>165</v>
      </c>
      <c r="O14" s="59" t="s">
        <v>212</v>
      </c>
      <c r="P14" s="59"/>
      <c r="Q14" s="59">
        <v>165</v>
      </c>
      <c r="R14" s="59" t="s">
        <v>212</v>
      </c>
      <c r="S14" s="59"/>
      <c r="T14" s="59">
        <v>165</v>
      </c>
      <c r="U14" s="59" t="s">
        <v>212</v>
      </c>
      <c r="V14" s="59"/>
      <c r="W14" s="59">
        <v>165</v>
      </c>
      <c r="X14" s="59" t="s">
        <v>212</v>
      </c>
      <c r="Y14" s="59"/>
      <c r="Z14" s="59">
        <v>165</v>
      </c>
      <c r="AA14" s="59" t="s">
        <v>212</v>
      </c>
      <c r="AB14" s="59"/>
      <c r="AC14" s="59">
        <v>165</v>
      </c>
      <c r="AD14" s="59" t="s">
        <v>212</v>
      </c>
      <c r="AE14" s="59"/>
      <c r="AF14" s="59">
        <v>165</v>
      </c>
      <c r="AG14" s="59" t="s">
        <v>212</v>
      </c>
      <c r="AH14" s="59"/>
      <c r="AI14" s="59">
        <v>165</v>
      </c>
      <c r="AJ14" s="59"/>
      <c r="AK14" s="59"/>
      <c r="AL14" s="59"/>
      <c r="AM14" s="59"/>
      <c r="AN14" s="59"/>
      <c r="AO14" s="59"/>
    </row>
    <row r="15" spans="1:42" ht="15" customHeight="1" x14ac:dyDescent="0.55000000000000004">
      <c r="C15" s="59" t="s">
        <v>211</v>
      </c>
      <c r="D15" s="59"/>
      <c r="E15" s="59">
        <v>130</v>
      </c>
      <c r="F15" s="59"/>
      <c r="G15" s="59"/>
      <c r="H15" s="59"/>
      <c r="I15" s="59"/>
      <c r="J15" s="59"/>
      <c r="K15" s="59"/>
      <c r="L15" s="59" t="s">
        <v>212</v>
      </c>
      <c r="M15" s="59"/>
      <c r="N15" s="59">
        <v>165</v>
      </c>
      <c r="O15" s="59" t="s">
        <v>212</v>
      </c>
      <c r="P15" s="59"/>
      <c r="Q15" s="59">
        <v>165</v>
      </c>
      <c r="R15" s="59" t="s">
        <v>212</v>
      </c>
      <c r="S15" s="59"/>
      <c r="T15" s="59">
        <v>165</v>
      </c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2" ht="15" customHeight="1" x14ac:dyDescent="0.55000000000000004">
      <c r="C16" s="59"/>
      <c r="D16" s="59"/>
      <c r="E16" s="59"/>
      <c r="F16" s="59"/>
      <c r="G16" s="59"/>
      <c r="H16" s="59"/>
      <c r="I16" s="59"/>
      <c r="J16" s="59"/>
      <c r="K16" s="59"/>
      <c r="L16" s="59" t="s">
        <v>210</v>
      </c>
      <c r="M16" s="59"/>
      <c r="N16" s="59">
        <v>130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</row>
    <row r="17" spans="1:41" ht="15" customHeight="1" x14ac:dyDescent="0.55000000000000004">
      <c r="C17" s="45">
        <f>COUNTA(C12:C15)</f>
        <v>4</v>
      </c>
      <c r="D17" s="45"/>
      <c r="E17" s="45">
        <f>SUM(E12:E15)</f>
        <v>590</v>
      </c>
      <c r="F17" s="45">
        <f>COUNTA(F12:F15)</f>
        <v>3</v>
      </c>
      <c r="G17" s="45"/>
      <c r="H17" s="45">
        <f>SUM(H12:H15)</f>
        <v>460</v>
      </c>
      <c r="I17" s="45">
        <f>COUNTA(I12:I15)</f>
        <v>3</v>
      </c>
      <c r="J17" s="45"/>
      <c r="K17" s="45">
        <f>SUM(K12:K15)</f>
        <v>460</v>
      </c>
      <c r="L17" s="45">
        <f>COUNTA(L12:L16)</f>
        <v>5</v>
      </c>
      <c r="M17" s="45"/>
      <c r="N17" s="45">
        <f>SUM(N12:N16)</f>
        <v>755</v>
      </c>
      <c r="O17" s="45">
        <f>COUNTA(O12:O15)</f>
        <v>4</v>
      </c>
      <c r="P17" s="45"/>
      <c r="Q17" s="45">
        <f>SUM(Q12:Q15)</f>
        <v>625</v>
      </c>
      <c r="R17" s="45">
        <f>COUNTA(R12:R15)</f>
        <v>4</v>
      </c>
      <c r="S17" s="45"/>
      <c r="T17" s="45">
        <f>SUM(T12:T15)</f>
        <v>625</v>
      </c>
      <c r="U17" s="45">
        <f>COUNTA(U12:U15)</f>
        <v>3</v>
      </c>
      <c r="V17" s="45"/>
      <c r="W17" s="45">
        <f>SUM(W12:W15)</f>
        <v>495</v>
      </c>
      <c r="X17" s="45">
        <f>COUNTA(X12:X15)</f>
        <v>3</v>
      </c>
      <c r="Y17" s="45"/>
      <c r="Z17" s="45">
        <f>SUM(Z12:Z15)</f>
        <v>495</v>
      </c>
      <c r="AA17" s="45">
        <f>COUNTA(AA12:AA15)</f>
        <v>3</v>
      </c>
      <c r="AB17" s="45"/>
      <c r="AC17" s="45">
        <f>SUM(AC12:AC15)</f>
        <v>495</v>
      </c>
      <c r="AD17" s="45">
        <f>COUNTA(AD12:AD15)</f>
        <v>3</v>
      </c>
      <c r="AE17" s="45"/>
      <c r="AF17" s="45">
        <f>SUM(AF12:AF15)</f>
        <v>495</v>
      </c>
      <c r="AG17" s="45">
        <f>COUNTA(AG12:AG15)</f>
        <v>3</v>
      </c>
      <c r="AH17" s="45"/>
      <c r="AI17" s="45">
        <f>SUM(AI12:AI15)</f>
        <v>495</v>
      </c>
      <c r="AJ17" s="45">
        <f>COUNTA(AJ12:AJ15)</f>
        <v>1</v>
      </c>
      <c r="AK17" s="45"/>
      <c r="AL17" s="45">
        <f>SUM(AL12:AL15)</f>
        <v>165</v>
      </c>
      <c r="AM17" s="45">
        <f>COUNTA(AM12:AM15)</f>
        <v>1</v>
      </c>
      <c r="AN17" s="45"/>
      <c r="AO17" s="45">
        <f>SUM(AO12:AO15)</f>
        <v>165</v>
      </c>
    </row>
    <row r="18" spans="1:41" ht="15" customHeight="1" x14ac:dyDescent="0.55000000000000004"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</row>
    <row r="19" spans="1:41" ht="15.5" customHeight="1" x14ac:dyDescent="0.55000000000000004">
      <c r="C19" s="26" t="s">
        <v>213</v>
      </c>
      <c r="D19" s="26"/>
      <c r="E19" s="47"/>
      <c r="F19" s="46"/>
      <c r="G19" s="46"/>
      <c r="H19" s="47"/>
      <c r="I19" s="46"/>
      <c r="J19" s="46"/>
      <c r="K19" s="47"/>
      <c r="L19" s="46"/>
      <c r="M19" s="46"/>
      <c r="N19" s="47"/>
      <c r="O19" s="46"/>
      <c r="P19" s="46"/>
      <c r="Q19" s="47"/>
      <c r="R19" s="46"/>
      <c r="S19" s="46"/>
      <c r="T19" s="47"/>
      <c r="U19" s="46"/>
      <c r="V19" s="46"/>
      <c r="W19" s="47"/>
      <c r="X19" s="46"/>
      <c r="Y19" s="46"/>
      <c r="Z19" s="47"/>
      <c r="AA19" s="46"/>
      <c r="AB19" s="46"/>
      <c r="AC19" s="47"/>
      <c r="AD19" s="46"/>
      <c r="AE19" s="46"/>
      <c r="AF19" s="47"/>
      <c r="AG19" s="46"/>
      <c r="AH19" s="46"/>
      <c r="AI19" s="47"/>
      <c r="AJ19" s="46"/>
      <c r="AK19" s="46"/>
      <c r="AL19" s="47"/>
      <c r="AM19" s="46"/>
      <c r="AN19" s="46"/>
      <c r="AO19" s="47"/>
    </row>
    <row r="20" spans="1:41" ht="15" customHeight="1" x14ac:dyDescent="0.55000000000000004">
      <c r="C20" s="253" t="s">
        <v>4</v>
      </c>
      <c r="D20" s="279"/>
      <c r="E20" s="260"/>
      <c r="F20" s="253" t="s">
        <v>5</v>
      </c>
      <c r="G20" s="279"/>
      <c r="H20" s="260"/>
      <c r="I20" s="253" t="s">
        <v>6</v>
      </c>
      <c r="J20" s="279"/>
      <c r="K20" s="260"/>
      <c r="L20" s="253" t="s">
        <v>7</v>
      </c>
      <c r="M20" s="279"/>
      <c r="N20" s="260"/>
      <c r="O20" s="253" t="s">
        <v>8</v>
      </c>
      <c r="P20" s="279"/>
      <c r="Q20" s="260"/>
      <c r="R20" s="253" t="s">
        <v>10</v>
      </c>
      <c r="S20" s="279"/>
      <c r="T20" s="260"/>
      <c r="U20" s="253" t="s">
        <v>11</v>
      </c>
      <c r="V20" s="279"/>
      <c r="W20" s="260"/>
      <c r="X20" s="253" t="s">
        <v>12</v>
      </c>
      <c r="Y20" s="279"/>
      <c r="Z20" s="260"/>
      <c r="AA20" s="253" t="s">
        <v>13</v>
      </c>
      <c r="AB20" s="279"/>
      <c r="AC20" s="260"/>
      <c r="AD20" s="253" t="s">
        <v>14</v>
      </c>
      <c r="AE20" s="279"/>
      <c r="AF20" s="260"/>
      <c r="AG20" s="253" t="s">
        <v>15</v>
      </c>
      <c r="AH20" s="279"/>
      <c r="AI20" s="260"/>
      <c r="AJ20" s="253" t="s">
        <v>16</v>
      </c>
      <c r="AK20" s="279"/>
      <c r="AL20" s="260"/>
      <c r="AM20" s="253" t="s">
        <v>4</v>
      </c>
      <c r="AN20" s="279"/>
      <c r="AO20" s="260"/>
    </row>
    <row r="21" spans="1:41" ht="15" customHeight="1" x14ac:dyDescent="0.55000000000000004">
      <c r="C21" s="59" t="s">
        <v>214</v>
      </c>
      <c r="D21" s="59"/>
      <c r="E21" s="59">
        <v>70</v>
      </c>
      <c r="F21" s="59" t="s">
        <v>214</v>
      </c>
      <c r="G21" s="59"/>
      <c r="H21" s="59">
        <v>70</v>
      </c>
      <c r="I21" s="59" t="s">
        <v>214</v>
      </c>
      <c r="J21" s="59"/>
      <c r="K21" s="59">
        <v>70</v>
      </c>
      <c r="L21" s="59" t="s">
        <v>131</v>
      </c>
      <c r="M21" s="59"/>
      <c r="N21" s="59">
        <v>25</v>
      </c>
      <c r="O21" s="59" t="s">
        <v>131</v>
      </c>
      <c r="P21" s="59"/>
      <c r="Q21" s="59">
        <v>25</v>
      </c>
      <c r="R21" s="59" t="s">
        <v>131</v>
      </c>
      <c r="S21" s="59"/>
      <c r="T21" s="59">
        <v>25</v>
      </c>
      <c r="U21" s="59" t="s">
        <v>131</v>
      </c>
      <c r="V21" s="59"/>
      <c r="W21" s="59">
        <v>25</v>
      </c>
      <c r="X21" s="59" t="s">
        <v>131</v>
      </c>
      <c r="Y21" s="59"/>
      <c r="Z21" s="59">
        <v>25</v>
      </c>
      <c r="AA21" s="59" t="s">
        <v>131</v>
      </c>
      <c r="AB21" s="59"/>
      <c r="AC21" s="59">
        <v>25</v>
      </c>
      <c r="AD21" s="59" t="s">
        <v>131</v>
      </c>
      <c r="AE21" s="59"/>
      <c r="AF21" s="59">
        <v>25</v>
      </c>
      <c r="AG21" s="59" t="s">
        <v>131</v>
      </c>
      <c r="AH21" s="59"/>
      <c r="AI21" s="59">
        <v>25</v>
      </c>
      <c r="AJ21" s="59" t="s">
        <v>131</v>
      </c>
      <c r="AK21" s="59"/>
      <c r="AL21" s="59">
        <v>25</v>
      </c>
      <c r="AM21" s="59" t="s">
        <v>131</v>
      </c>
      <c r="AN21" s="59"/>
      <c r="AO21" s="59">
        <v>25</v>
      </c>
    </row>
    <row r="22" spans="1:41" ht="15" customHeight="1" x14ac:dyDescent="0.55000000000000004">
      <c r="C22" s="59" t="s">
        <v>215</v>
      </c>
      <c r="D22" s="59"/>
      <c r="E22" s="59">
        <v>70</v>
      </c>
      <c r="F22" s="59" t="s">
        <v>131</v>
      </c>
      <c r="G22" s="59"/>
      <c r="H22" s="59">
        <v>25</v>
      </c>
      <c r="I22" s="59" t="s">
        <v>131</v>
      </c>
      <c r="J22" s="59"/>
      <c r="K22" s="59">
        <v>25</v>
      </c>
      <c r="L22" s="59" t="s">
        <v>133</v>
      </c>
      <c r="M22" s="59"/>
      <c r="N22" s="59">
        <v>70</v>
      </c>
      <c r="O22" s="59" t="s">
        <v>133</v>
      </c>
      <c r="P22" s="59"/>
      <c r="Q22" s="59">
        <v>70</v>
      </c>
      <c r="R22" s="59" t="s">
        <v>133</v>
      </c>
      <c r="S22" s="59"/>
      <c r="T22" s="59">
        <v>70</v>
      </c>
      <c r="U22" s="59" t="s">
        <v>133</v>
      </c>
      <c r="V22" s="59"/>
      <c r="W22" s="59">
        <v>70</v>
      </c>
      <c r="X22" s="59" t="s">
        <v>133</v>
      </c>
      <c r="Y22" s="59"/>
      <c r="Z22" s="59">
        <v>70</v>
      </c>
      <c r="AA22" s="59" t="s">
        <v>133</v>
      </c>
      <c r="AB22" s="59"/>
      <c r="AC22" s="59">
        <v>70</v>
      </c>
      <c r="AD22" s="59" t="s">
        <v>133</v>
      </c>
      <c r="AE22" s="59"/>
      <c r="AF22" s="59">
        <v>70</v>
      </c>
      <c r="AG22" s="59" t="s">
        <v>133</v>
      </c>
      <c r="AH22" s="59"/>
      <c r="AI22" s="59">
        <v>70</v>
      </c>
      <c r="AJ22" s="59" t="s">
        <v>133</v>
      </c>
      <c r="AK22" s="59"/>
      <c r="AL22" s="59">
        <v>70</v>
      </c>
      <c r="AM22" s="59" t="s">
        <v>133</v>
      </c>
      <c r="AN22" s="59"/>
      <c r="AO22" s="59">
        <v>70</v>
      </c>
    </row>
    <row r="23" spans="1:41" ht="15" customHeight="1" x14ac:dyDescent="0.55000000000000004">
      <c r="C23" s="59" t="s">
        <v>131</v>
      </c>
      <c r="D23" s="59"/>
      <c r="E23" s="59">
        <v>25</v>
      </c>
      <c r="F23" s="59" t="s">
        <v>216</v>
      </c>
      <c r="G23" s="59"/>
      <c r="H23" s="59">
        <v>70</v>
      </c>
      <c r="I23" s="59" t="s">
        <v>133</v>
      </c>
      <c r="J23" s="59"/>
      <c r="K23" s="59">
        <v>70</v>
      </c>
      <c r="L23" s="45" t="s">
        <v>132</v>
      </c>
      <c r="M23" s="45"/>
      <c r="N23" s="45">
        <v>70</v>
      </c>
      <c r="O23" s="45" t="s">
        <v>132</v>
      </c>
      <c r="P23" s="45"/>
      <c r="Q23" s="45">
        <v>70</v>
      </c>
      <c r="R23" s="45" t="s">
        <v>132</v>
      </c>
      <c r="S23" s="45"/>
      <c r="T23" s="45">
        <v>70</v>
      </c>
      <c r="U23" s="45" t="s">
        <v>132</v>
      </c>
      <c r="V23" s="45"/>
      <c r="W23" s="45">
        <v>70</v>
      </c>
      <c r="X23" s="45" t="s">
        <v>132</v>
      </c>
      <c r="Y23" s="45"/>
      <c r="Z23" s="45">
        <v>70</v>
      </c>
      <c r="AA23" s="45" t="s">
        <v>132</v>
      </c>
      <c r="AB23" s="45"/>
      <c r="AC23" s="45">
        <v>70</v>
      </c>
      <c r="AD23" s="45" t="s">
        <v>132</v>
      </c>
      <c r="AE23" s="45"/>
      <c r="AF23" s="45">
        <v>70</v>
      </c>
      <c r="AG23" s="45" t="s">
        <v>132</v>
      </c>
      <c r="AH23" s="45"/>
      <c r="AI23" s="45">
        <v>70</v>
      </c>
      <c r="AJ23" s="45" t="s">
        <v>132</v>
      </c>
      <c r="AK23" s="45"/>
      <c r="AL23" s="45">
        <v>70</v>
      </c>
      <c r="AM23" s="45" t="s">
        <v>132</v>
      </c>
      <c r="AN23" s="45"/>
      <c r="AO23" s="45">
        <v>70</v>
      </c>
    </row>
    <row r="24" spans="1:41" ht="15" customHeight="1" x14ac:dyDescent="0.55000000000000004">
      <c r="C24" s="51" t="s">
        <v>216</v>
      </c>
      <c r="D24" s="51"/>
      <c r="E24" s="59">
        <v>70</v>
      </c>
      <c r="F24" s="59" t="s">
        <v>133</v>
      </c>
      <c r="G24" s="59"/>
      <c r="H24" s="59">
        <v>70</v>
      </c>
      <c r="I24" s="45" t="s">
        <v>132</v>
      </c>
      <c r="J24" s="45"/>
      <c r="K24" s="45">
        <v>70</v>
      </c>
      <c r="L24" s="59" t="s">
        <v>134</v>
      </c>
      <c r="M24" s="59"/>
      <c r="N24" s="59">
        <v>70</v>
      </c>
      <c r="O24" s="59" t="s">
        <v>134</v>
      </c>
      <c r="P24" s="59"/>
      <c r="Q24" s="59">
        <v>70</v>
      </c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</row>
    <row r="25" spans="1:41" ht="15" customHeight="1" x14ac:dyDescent="0.55000000000000004">
      <c r="C25" s="51" t="s">
        <v>133</v>
      </c>
      <c r="D25" s="51"/>
      <c r="E25" s="59">
        <v>70</v>
      </c>
      <c r="F25" s="45" t="s">
        <v>132</v>
      </c>
      <c r="G25" s="45"/>
      <c r="H25" s="45">
        <v>70</v>
      </c>
      <c r="I25" s="51" t="s">
        <v>134</v>
      </c>
      <c r="J25" s="51"/>
      <c r="K25" s="59">
        <v>70</v>
      </c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</row>
    <row r="26" spans="1:41" ht="15" customHeight="1" x14ac:dyDescent="0.55000000000000004">
      <c r="C26" s="51" t="s">
        <v>132</v>
      </c>
      <c r="D26" s="51"/>
      <c r="E26" s="45">
        <v>70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</row>
    <row r="27" spans="1:41" ht="15" customHeight="1" x14ac:dyDescent="0.55000000000000004">
      <c r="C27" s="45">
        <f>COUNTA(C21:C26)</f>
        <v>6</v>
      </c>
      <c r="D27" s="45"/>
      <c r="E27" s="45">
        <f>SUM(E21:E26)</f>
        <v>375</v>
      </c>
      <c r="F27" s="45">
        <f>COUNTA(F21:F26)</f>
        <v>5</v>
      </c>
      <c r="G27" s="45"/>
      <c r="H27" s="45">
        <f>SUM(H21:H26)</f>
        <v>305</v>
      </c>
      <c r="I27" s="45">
        <f>COUNTA(I21:I26)</f>
        <v>5</v>
      </c>
      <c r="J27" s="45"/>
      <c r="K27" s="45">
        <f>SUM(K21:K26)</f>
        <v>305</v>
      </c>
      <c r="L27" s="45">
        <f>COUNTA(L21:L26)</f>
        <v>4</v>
      </c>
      <c r="M27" s="45"/>
      <c r="N27" s="45">
        <f>SUM(N21:N26)</f>
        <v>235</v>
      </c>
      <c r="O27" s="45">
        <f>COUNTA(O21:O26)</f>
        <v>4</v>
      </c>
      <c r="P27" s="45"/>
      <c r="Q27" s="45">
        <f>SUM(Q21:Q26)</f>
        <v>235</v>
      </c>
      <c r="R27" s="45">
        <f>COUNTA(R21:R26)</f>
        <v>3</v>
      </c>
      <c r="S27" s="45"/>
      <c r="T27" s="45">
        <f>SUM(T21:T26)</f>
        <v>165</v>
      </c>
      <c r="U27" s="45">
        <f>COUNTA(U21:U26)</f>
        <v>3</v>
      </c>
      <c r="V27" s="45"/>
      <c r="W27" s="45">
        <f>SUM(W21:W26)</f>
        <v>165</v>
      </c>
      <c r="X27" s="45">
        <f>COUNTA(X21:X26)</f>
        <v>3</v>
      </c>
      <c r="Y27" s="45"/>
      <c r="Z27" s="45">
        <f>SUM(Z21:Z26)</f>
        <v>165</v>
      </c>
      <c r="AA27" s="45">
        <f>COUNTA(AA21:AA26)</f>
        <v>3</v>
      </c>
      <c r="AB27" s="45"/>
      <c r="AC27" s="45">
        <f>SUM(AC21:AC26)</f>
        <v>165</v>
      </c>
      <c r="AD27" s="45">
        <f>COUNTA(AD21:AD26)</f>
        <v>3</v>
      </c>
      <c r="AE27" s="45"/>
      <c r="AF27" s="45">
        <f>SUM(AF21:AF26)</f>
        <v>165</v>
      </c>
      <c r="AG27" s="45">
        <f>COUNTA(AG21:AG26)</f>
        <v>3</v>
      </c>
      <c r="AH27" s="45"/>
      <c r="AI27" s="45">
        <f>SUM(AI21:AI26)</f>
        <v>165</v>
      </c>
      <c r="AJ27" s="45">
        <f>COUNTA(AJ21:AJ26)</f>
        <v>3</v>
      </c>
      <c r="AK27" s="45"/>
      <c r="AL27" s="45">
        <f>SUM(AL21:AL26)</f>
        <v>165</v>
      </c>
      <c r="AM27" s="45">
        <f>COUNTA(AM21:AM26)</f>
        <v>3</v>
      </c>
      <c r="AN27" s="45"/>
      <c r="AO27" s="45">
        <f>SUM(AO21:AO26)</f>
        <v>165</v>
      </c>
    </row>
    <row r="28" spans="1:41" ht="10.5" customHeight="1" x14ac:dyDescent="0.55000000000000004"/>
    <row r="29" spans="1:41" ht="12.5" customHeight="1" x14ac:dyDescent="0.55000000000000004">
      <c r="AD29" s="27" t="s">
        <v>172</v>
      </c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</row>
    <row r="30" spans="1:41" ht="12.5" customHeight="1" x14ac:dyDescent="0.55000000000000004"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</row>
    <row r="31" spans="1:41" x14ac:dyDescent="0.55000000000000004">
      <c r="A31" s="283" t="s">
        <v>219</v>
      </c>
      <c r="B31" s="283"/>
      <c r="C31" s="262" t="s">
        <v>4</v>
      </c>
      <c r="D31" s="284"/>
      <c r="E31" s="263"/>
      <c r="F31" s="262" t="s">
        <v>5</v>
      </c>
      <c r="G31" s="284"/>
      <c r="H31" s="263"/>
      <c r="I31" s="262" t="s">
        <v>6</v>
      </c>
      <c r="J31" s="284"/>
      <c r="K31" s="263"/>
      <c r="L31" s="262" t="s">
        <v>7</v>
      </c>
      <c r="M31" s="284"/>
      <c r="N31" s="263"/>
      <c r="O31" s="262" t="s">
        <v>8</v>
      </c>
      <c r="P31" s="284"/>
      <c r="Q31" s="263"/>
      <c r="R31" s="262" t="s">
        <v>10</v>
      </c>
      <c r="S31" s="284"/>
      <c r="T31" s="263"/>
      <c r="U31" s="262" t="s">
        <v>11</v>
      </c>
      <c r="V31" s="284"/>
      <c r="W31" s="263"/>
      <c r="X31" s="262" t="s">
        <v>12</v>
      </c>
      <c r="Y31" s="284"/>
      <c r="Z31" s="263"/>
      <c r="AA31" s="262" t="s">
        <v>13</v>
      </c>
      <c r="AB31" s="284"/>
      <c r="AC31" s="263"/>
      <c r="AD31" s="262" t="s">
        <v>14</v>
      </c>
      <c r="AE31" s="284"/>
      <c r="AF31" s="263"/>
      <c r="AG31" s="262" t="s">
        <v>15</v>
      </c>
      <c r="AH31" s="284"/>
      <c r="AI31" s="263"/>
      <c r="AJ31" s="262" t="s">
        <v>16</v>
      </c>
      <c r="AK31" s="284"/>
      <c r="AL31" s="263"/>
      <c r="AM31" s="262" t="s">
        <v>4</v>
      </c>
      <c r="AN31" s="284"/>
      <c r="AO31" s="263"/>
    </row>
    <row r="32" spans="1:41" ht="18.5" thickBot="1" x14ac:dyDescent="0.6">
      <c r="A32" s="255" t="s">
        <v>153</v>
      </c>
      <c r="B32" s="255"/>
      <c r="C32" s="264">
        <v>3</v>
      </c>
      <c r="D32" s="282"/>
      <c r="E32" s="265"/>
      <c r="F32" s="264">
        <v>3</v>
      </c>
      <c r="G32" s="282"/>
      <c r="H32" s="265"/>
      <c r="I32" s="264">
        <v>3</v>
      </c>
      <c r="J32" s="282"/>
      <c r="K32" s="265"/>
      <c r="L32" s="264">
        <v>3</v>
      </c>
      <c r="M32" s="282"/>
      <c r="N32" s="265"/>
      <c r="O32" s="264">
        <v>3</v>
      </c>
      <c r="P32" s="282"/>
      <c r="Q32" s="265"/>
      <c r="R32" s="264">
        <v>3</v>
      </c>
      <c r="S32" s="282"/>
      <c r="T32" s="265"/>
      <c r="U32" s="264">
        <v>3</v>
      </c>
      <c r="V32" s="282"/>
      <c r="W32" s="265"/>
      <c r="X32" s="264">
        <v>3</v>
      </c>
      <c r="Y32" s="282"/>
      <c r="Z32" s="265"/>
      <c r="AA32" s="264">
        <v>3</v>
      </c>
      <c r="AB32" s="282"/>
      <c r="AC32" s="265"/>
      <c r="AD32" s="264">
        <v>3</v>
      </c>
      <c r="AE32" s="282"/>
      <c r="AF32" s="265"/>
      <c r="AG32" s="264">
        <v>3</v>
      </c>
      <c r="AH32" s="282"/>
      <c r="AI32" s="265"/>
      <c r="AJ32" s="264">
        <v>3</v>
      </c>
      <c r="AK32" s="282"/>
      <c r="AL32" s="265"/>
      <c r="AM32" s="264">
        <v>3</v>
      </c>
      <c r="AN32" s="282"/>
      <c r="AO32" s="265"/>
    </row>
    <row r="33" spans="1:41" ht="18.5" thickBot="1" x14ac:dyDescent="0.6">
      <c r="A33" s="256" t="s">
        <v>31</v>
      </c>
      <c r="B33" s="257"/>
      <c r="C33" s="266">
        <f>C43</f>
        <v>4</v>
      </c>
      <c r="D33" s="275"/>
      <c r="E33" s="267"/>
      <c r="F33" s="266">
        <f>F43</f>
        <v>2</v>
      </c>
      <c r="G33" s="275"/>
      <c r="H33" s="267"/>
      <c r="I33" s="266">
        <f>I43</f>
        <v>2</v>
      </c>
      <c r="J33" s="275"/>
      <c r="K33" s="267"/>
      <c r="L33" s="266">
        <f>L43</f>
        <v>4</v>
      </c>
      <c r="M33" s="275"/>
      <c r="N33" s="267"/>
      <c r="O33" s="266">
        <f>O43</f>
        <v>3</v>
      </c>
      <c r="P33" s="275"/>
      <c r="Q33" s="267"/>
      <c r="R33" s="266">
        <f>R43</f>
        <v>3</v>
      </c>
      <c r="S33" s="275"/>
      <c r="T33" s="267"/>
      <c r="U33" s="266">
        <f>U43</f>
        <v>3</v>
      </c>
      <c r="V33" s="275"/>
      <c r="W33" s="267"/>
      <c r="X33" s="266">
        <f>X43</f>
        <v>3</v>
      </c>
      <c r="Y33" s="275"/>
      <c r="Z33" s="267"/>
      <c r="AA33" s="266">
        <f>AA43</f>
        <v>3</v>
      </c>
      <c r="AB33" s="275"/>
      <c r="AC33" s="267"/>
      <c r="AD33" s="266">
        <f>AD43</f>
        <v>3</v>
      </c>
      <c r="AE33" s="275"/>
      <c r="AF33" s="267"/>
      <c r="AG33" s="266">
        <f>AG43</f>
        <v>3</v>
      </c>
      <c r="AH33" s="275"/>
      <c r="AI33" s="267"/>
      <c r="AJ33" s="266">
        <f>AJ43</f>
        <v>3</v>
      </c>
      <c r="AK33" s="275"/>
      <c r="AL33" s="267"/>
      <c r="AM33" s="266">
        <f>AM43</f>
        <v>3</v>
      </c>
      <c r="AN33" s="275"/>
      <c r="AO33" s="276"/>
    </row>
    <row r="34" spans="1:41" x14ac:dyDescent="0.55000000000000004">
      <c r="A34" s="258" t="s">
        <v>169</v>
      </c>
      <c r="B34" s="258"/>
      <c r="C34" s="277">
        <f>C33-C32</f>
        <v>1</v>
      </c>
      <c r="D34" s="281"/>
      <c r="E34" s="278"/>
      <c r="F34" s="277">
        <f>F33-F32</f>
        <v>-1</v>
      </c>
      <c r="G34" s="281"/>
      <c r="H34" s="278"/>
      <c r="I34" s="277">
        <f>I33-I32</f>
        <v>-1</v>
      </c>
      <c r="J34" s="281"/>
      <c r="K34" s="278"/>
      <c r="L34" s="277">
        <f>L33-L32</f>
        <v>1</v>
      </c>
      <c r="M34" s="281"/>
      <c r="N34" s="278"/>
      <c r="O34" s="277">
        <f>O33-O32</f>
        <v>0</v>
      </c>
      <c r="P34" s="281"/>
      <c r="Q34" s="278"/>
      <c r="R34" s="277">
        <f>R33-R32</f>
        <v>0</v>
      </c>
      <c r="S34" s="281"/>
      <c r="T34" s="278"/>
      <c r="U34" s="277">
        <f>U33-U32</f>
        <v>0</v>
      </c>
      <c r="V34" s="281"/>
      <c r="W34" s="278"/>
      <c r="X34" s="277">
        <f>X33-X32</f>
        <v>0</v>
      </c>
      <c r="Y34" s="281"/>
      <c r="Z34" s="278"/>
      <c r="AA34" s="277">
        <f>AA33-AA32</f>
        <v>0</v>
      </c>
      <c r="AB34" s="281"/>
      <c r="AC34" s="278"/>
      <c r="AD34" s="277">
        <f>AD33-AD32</f>
        <v>0</v>
      </c>
      <c r="AE34" s="281"/>
      <c r="AF34" s="278"/>
      <c r="AG34" s="277">
        <f>AG33-AG32</f>
        <v>0</v>
      </c>
      <c r="AH34" s="281"/>
      <c r="AI34" s="278"/>
      <c r="AJ34" s="277">
        <f>AJ33-AJ32</f>
        <v>0</v>
      </c>
      <c r="AK34" s="281"/>
      <c r="AL34" s="278"/>
      <c r="AM34" s="277">
        <f>AM33-AM32</f>
        <v>0</v>
      </c>
      <c r="AN34" s="281"/>
      <c r="AO34" s="278"/>
    </row>
    <row r="35" spans="1:41" x14ac:dyDescent="0.55000000000000004">
      <c r="A35" s="259" t="s">
        <v>17</v>
      </c>
      <c r="B35" s="259"/>
      <c r="C35" s="270">
        <f>E43</f>
        <v>590</v>
      </c>
      <c r="D35" s="280"/>
      <c r="E35" s="271"/>
      <c r="F35" s="270">
        <f>H43</f>
        <v>260</v>
      </c>
      <c r="G35" s="280"/>
      <c r="H35" s="271"/>
      <c r="I35" s="270">
        <f>K43</f>
        <v>260</v>
      </c>
      <c r="J35" s="280"/>
      <c r="K35" s="271"/>
      <c r="L35" s="270">
        <f>N43</f>
        <v>555</v>
      </c>
      <c r="M35" s="280"/>
      <c r="N35" s="271"/>
      <c r="O35" s="270">
        <f>Q43</f>
        <v>425</v>
      </c>
      <c r="P35" s="280"/>
      <c r="Q35" s="271"/>
      <c r="R35" s="270">
        <f>T43</f>
        <v>425</v>
      </c>
      <c r="S35" s="280"/>
      <c r="T35" s="271"/>
      <c r="U35" s="270">
        <f>W43</f>
        <v>425</v>
      </c>
      <c r="V35" s="280"/>
      <c r="W35" s="271"/>
      <c r="X35" s="270">
        <f>Z43</f>
        <v>425</v>
      </c>
      <c r="Y35" s="280"/>
      <c r="Z35" s="271"/>
      <c r="AA35" s="270">
        <f>AC43</f>
        <v>425</v>
      </c>
      <c r="AB35" s="280"/>
      <c r="AC35" s="271"/>
      <c r="AD35" s="270">
        <f>AF43</f>
        <v>425</v>
      </c>
      <c r="AE35" s="280"/>
      <c r="AF35" s="271"/>
      <c r="AG35" s="270">
        <f>AI43</f>
        <v>425</v>
      </c>
      <c r="AH35" s="280"/>
      <c r="AI35" s="271"/>
      <c r="AJ35" s="270">
        <f>AL43</f>
        <v>425</v>
      </c>
      <c r="AK35" s="280"/>
      <c r="AL35" s="271"/>
      <c r="AM35" s="270">
        <f>AO43</f>
        <v>425</v>
      </c>
      <c r="AN35" s="280"/>
      <c r="AO35" s="271"/>
    </row>
    <row r="36" spans="1:41" ht="18.5" customHeight="1" x14ac:dyDescent="0.55000000000000004">
      <c r="C36" s="54"/>
      <c r="D36" s="54"/>
      <c r="L36" s="53"/>
      <c r="M36" s="53"/>
      <c r="N36" s="52"/>
      <c r="O36" s="54"/>
      <c r="P36" s="54"/>
    </row>
    <row r="37" spans="1:41" x14ac:dyDescent="0.55000000000000004">
      <c r="C37" s="26" t="s">
        <v>209</v>
      </c>
      <c r="D37" s="26"/>
    </row>
    <row r="38" spans="1:41" ht="15" customHeight="1" x14ac:dyDescent="0.55000000000000004">
      <c r="C38" s="253" t="s">
        <v>4</v>
      </c>
      <c r="D38" s="279"/>
      <c r="E38" s="254"/>
      <c r="F38" s="253" t="s">
        <v>5</v>
      </c>
      <c r="G38" s="279"/>
      <c r="H38" s="254"/>
      <c r="I38" s="253" t="s">
        <v>6</v>
      </c>
      <c r="J38" s="279"/>
      <c r="K38" s="254"/>
      <c r="L38" s="253" t="s">
        <v>7</v>
      </c>
      <c r="M38" s="279"/>
      <c r="N38" s="254"/>
      <c r="O38" s="253" t="s">
        <v>8</v>
      </c>
      <c r="P38" s="279"/>
      <c r="Q38" s="254"/>
      <c r="R38" s="253" t="s">
        <v>10</v>
      </c>
      <c r="S38" s="279"/>
      <c r="T38" s="254"/>
      <c r="U38" s="253" t="s">
        <v>11</v>
      </c>
      <c r="V38" s="279"/>
      <c r="W38" s="254"/>
      <c r="X38" s="253" t="s">
        <v>12</v>
      </c>
      <c r="Y38" s="279"/>
      <c r="Z38" s="254"/>
      <c r="AA38" s="253" t="s">
        <v>13</v>
      </c>
      <c r="AB38" s="279"/>
      <c r="AC38" s="254"/>
      <c r="AD38" s="253" t="s">
        <v>14</v>
      </c>
      <c r="AE38" s="279"/>
      <c r="AF38" s="254"/>
      <c r="AG38" s="253" t="s">
        <v>15</v>
      </c>
      <c r="AH38" s="279"/>
      <c r="AI38" s="254"/>
      <c r="AJ38" s="253" t="s">
        <v>16</v>
      </c>
      <c r="AK38" s="279"/>
      <c r="AL38" s="254"/>
      <c r="AM38" s="253" t="s">
        <v>4</v>
      </c>
      <c r="AN38" s="279"/>
      <c r="AO38" s="254"/>
    </row>
    <row r="39" spans="1:41" ht="15" customHeight="1" x14ac:dyDescent="0.55000000000000004">
      <c r="C39" s="45" t="s">
        <v>217</v>
      </c>
      <c r="D39" s="45"/>
      <c r="E39" s="50">
        <v>130</v>
      </c>
      <c r="F39" s="45" t="s">
        <v>217</v>
      </c>
      <c r="G39" s="45"/>
      <c r="H39" s="50">
        <v>130</v>
      </c>
      <c r="I39" s="45" t="s">
        <v>217</v>
      </c>
      <c r="J39" s="45"/>
      <c r="K39" s="50">
        <v>130</v>
      </c>
      <c r="L39" s="45" t="s">
        <v>217</v>
      </c>
      <c r="M39" s="45"/>
      <c r="N39" s="50">
        <v>130</v>
      </c>
      <c r="O39" s="45" t="s">
        <v>217</v>
      </c>
      <c r="P39" s="45"/>
      <c r="Q39" s="50">
        <v>130</v>
      </c>
      <c r="R39" s="45" t="s">
        <v>217</v>
      </c>
      <c r="S39" s="45"/>
      <c r="T39" s="50">
        <v>130</v>
      </c>
      <c r="U39" s="45" t="s">
        <v>217</v>
      </c>
      <c r="V39" s="45"/>
      <c r="W39" s="50">
        <v>130</v>
      </c>
      <c r="X39" s="45" t="s">
        <v>217</v>
      </c>
      <c r="Y39" s="45"/>
      <c r="Z39" s="50">
        <v>130</v>
      </c>
      <c r="AA39" s="45" t="s">
        <v>217</v>
      </c>
      <c r="AB39" s="45"/>
      <c r="AC39" s="50">
        <v>130</v>
      </c>
      <c r="AD39" s="45" t="s">
        <v>217</v>
      </c>
      <c r="AE39" s="45"/>
      <c r="AF39" s="50">
        <v>130</v>
      </c>
      <c r="AG39" s="45" t="s">
        <v>217</v>
      </c>
      <c r="AH39" s="45"/>
      <c r="AI39" s="50">
        <v>130</v>
      </c>
      <c r="AJ39" s="45" t="s">
        <v>217</v>
      </c>
      <c r="AK39" s="45"/>
      <c r="AL39" s="50">
        <v>130</v>
      </c>
      <c r="AM39" s="45" t="s">
        <v>217</v>
      </c>
      <c r="AN39" s="45"/>
      <c r="AO39" s="50">
        <v>130</v>
      </c>
    </row>
    <row r="40" spans="1:41" ht="15" customHeight="1" x14ac:dyDescent="0.55000000000000004">
      <c r="C40" s="45" t="s">
        <v>129</v>
      </c>
      <c r="D40" s="45"/>
      <c r="E40" s="50">
        <v>165</v>
      </c>
      <c r="F40" s="45" t="s">
        <v>128</v>
      </c>
      <c r="G40" s="45"/>
      <c r="H40" s="50">
        <v>130</v>
      </c>
      <c r="I40" s="45" t="s">
        <v>128</v>
      </c>
      <c r="J40" s="45"/>
      <c r="K40" s="50">
        <v>130</v>
      </c>
      <c r="L40" s="45" t="s">
        <v>128</v>
      </c>
      <c r="M40" s="45"/>
      <c r="N40" s="50">
        <v>130</v>
      </c>
      <c r="O40" s="45" t="s">
        <v>129</v>
      </c>
      <c r="P40" s="45"/>
      <c r="Q40" s="50">
        <v>130</v>
      </c>
      <c r="R40" s="45" t="s">
        <v>129</v>
      </c>
      <c r="S40" s="45"/>
      <c r="T40" s="50">
        <v>130</v>
      </c>
      <c r="U40" s="45" t="s">
        <v>129</v>
      </c>
      <c r="V40" s="45"/>
      <c r="W40" s="50">
        <v>130</v>
      </c>
      <c r="X40" s="45" t="s">
        <v>129</v>
      </c>
      <c r="Y40" s="45"/>
      <c r="Z40" s="50">
        <v>130</v>
      </c>
      <c r="AA40" s="45" t="s">
        <v>129</v>
      </c>
      <c r="AB40" s="45"/>
      <c r="AC40" s="50">
        <v>130</v>
      </c>
      <c r="AD40" s="45" t="s">
        <v>129</v>
      </c>
      <c r="AE40" s="45"/>
      <c r="AF40" s="50">
        <v>130</v>
      </c>
      <c r="AG40" s="45" t="s">
        <v>129</v>
      </c>
      <c r="AH40" s="45"/>
      <c r="AI40" s="50">
        <v>130</v>
      </c>
      <c r="AJ40" s="45" t="s">
        <v>129</v>
      </c>
      <c r="AK40" s="45"/>
      <c r="AL40" s="50">
        <v>130</v>
      </c>
      <c r="AM40" s="45" t="s">
        <v>129</v>
      </c>
      <c r="AN40" s="45"/>
      <c r="AO40" s="50">
        <v>130</v>
      </c>
    </row>
    <row r="41" spans="1:41" ht="15" customHeight="1" x14ac:dyDescent="0.55000000000000004">
      <c r="C41" s="45" t="s">
        <v>128</v>
      </c>
      <c r="D41" s="45"/>
      <c r="E41" s="50">
        <v>130</v>
      </c>
      <c r="F41" s="45"/>
      <c r="G41" s="45"/>
      <c r="H41" s="50"/>
      <c r="I41" s="45"/>
      <c r="J41" s="45"/>
      <c r="K41" s="50"/>
      <c r="L41" s="45" t="s">
        <v>129</v>
      </c>
      <c r="M41" s="45"/>
      <c r="N41" s="50">
        <v>130</v>
      </c>
      <c r="O41" s="45" t="s">
        <v>130</v>
      </c>
      <c r="P41" s="45"/>
      <c r="Q41" s="50">
        <v>165</v>
      </c>
      <c r="R41" s="45" t="s">
        <v>130</v>
      </c>
      <c r="S41" s="45"/>
      <c r="T41" s="50">
        <v>165</v>
      </c>
      <c r="U41" s="45" t="s">
        <v>130</v>
      </c>
      <c r="V41" s="45"/>
      <c r="W41" s="50">
        <v>165</v>
      </c>
      <c r="X41" s="45" t="s">
        <v>130</v>
      </c>
      <c r="Y41" s="45"/>
      <c r="Z41" s="50">
        <v>165</v>
      </c>
      <c r="AA41" s="45" t="s">
        <v>130</v>
      </c>
      <c r="AB41" s="45"/>
      <c r="AC41" s="50">
        <v>165</v>
      </c>
      <c r="AD41" s="45" t="s">
        <v>130</v>
      </c>
      <c r="AE41" s="45"/>
      <c r="AF41" s="50">
        <v>165</v>
      </c>
      <c r="AG41" s="45" t="s">
        <v>130</v>
      </c>
      <c r="AH41" s="45"/>
      <c r="AI41" s="50">
        <v>165</v>
      </c>
      <c r="AJ41" s="45" t="s">
        <v>130</v>
      </c>
      <c r="AK41" s="45"/>
      <c r="AL41" s="50">
        <v>165</v>
      </c>
      <c r="AM41" s="45" t="s">
        <v>130</v>
      </c>
      <c r="AN41" s="45"/>
      <c r="AO41" s="50">
        <v>165</v>
      </c>
    </row>
    <row r="42" spans="1:41" ht="15" customHeight="1" x14ac:dyDescent="0.55000000000000004">
      <c r="C42" s="45" t="s">
        <v>218</v>
      </c>
      <c r="D42" s="45"/>
      <c r="E42" s="50">
        <v>165</v>
      </c>
      <c r="F42" s="45"/>
      <c r="G42" s="45"/>
      <c r="H42" s="50"/>
      <c r="I42" s="45"/>
      <c r="J42" s="45"/>
      <c r="K42" s="50"/>
      <c r="L42" s="51" t="s">
        <v>130</v>
      </c>
      <c r="M42" s="51"/>
      <c r="N42" s="50">
        <v>165</v>
      </c>
      <c r="O42" s="45"/>
      <c r="P42" s="45"/>
      <c r="Q42" s="50"/>
      <c r="R42" s="45"/>
      <c r="S42" s="45"/>
      <c r="T42" s="50"/>
      <c r="U42" s="45"/>
      <c r="V42" s="45"/>
      <c r="W42" s="50"/>
      <c r="X42" s="45"/>
      <c r="Y42" s="45"/>
      <c r="Z42" s="50"/>
      <c r="AA42" s="45"/>
      <c r="AB42" s="45"/>
      <c r="AC42" s="50"/>
      <c r="AD42" s="45"/>
      <c r="AE42" s="45"/>
      <c r="AF42" s="50"/>
      <c r="AG42" s="45"/>
      <c r="AH42" s="45"/>
      <c r="AI42" s="50"/>
      <c r="AJ42" s="45"/>
      <c r="AK42" s="45"/>
      <c r="AL42" s="50"/>
      <c r="AM42" s="45"/>
      <c r="AN42" s="45"/>
      <c r="AO42" s="50"/>
    </row>
    <row r="43" spans="1:41" ht="15" customHeight="1" x14ac:dyDescent="0.55000000000000004">
      <c r="C43" s="45">
        <f>COUNTA(C39:C42)</f>
        <v>4</v>
      </c>
      <c r="D43" s="45"/>
      <c r="E43" s="45">
        <f>SUM(E39:E42)</f>
        <v>590</v>
      </c>
      <c r="F43" s="45">
        <f>COUNTA(F39:F42)</f>
        <v>2</v>
      </c>
      <c r="G43" s="45"/>
      <c r="H43" s="45">
        <f>SUM(H39:H42)</f>
        <v>260</v>
      </c>
      <c r="I43" s="45">
        <f>COUNTA(I39:I42)</f>
        <v>2</v>
      </c>
      <c r="J43" s="45"/>
      <c r="K43" s="45">
        <f>SUM(K39:K42)</f>
        <v>260</v>
      </c>
      <c r="L43" s="45">
        <f>COUNTA(L39:L42)</f>
        <v>4</v>
      </c>
      <c r="M43" s="45"/>
      <c r="N43" s="45">
        <f>SUM(N39:N42)</f>
        <v>555</v>
      </c>
      <c r="O43" s="45">
        <f>COUNTA(O39:O42)</f>
        <v>3</v>
      </c>
      <c r="P43" s="45"/>
      <c r="Q43" s="45">
        <f>SUM(Q39:Q42)</f>
        <v>425</v>
      </c>
      <c r="R43" s="45">
        <f>COUNTA(R39:R42)</f>
        <v>3</v>
      </c>
      <c r="S43" s="45"/>
      <c r="T43" s="45">
        <f>SUM(T39:T42)</f>
        <v>425</v>
      </c>
      <c r="U43" s="45">
        <f>COUNTA(U39:U42)</f>
        <v>3</v>
      </c>
      <c r="V43" s="45"/>
      <c r="W43" s="45">
        <f>SUM(W39:W42)</f>
        <v>425</v>
      </c>
      <c r="X43" s="45">
        <f>COUNTA(X39:X42)</f>
        <v>3</v>
      </c>
      <c r="Y43" s="45"/>
      <c r="Z43" s="45">
        <f>SUM(Z39:Z42)</f>
        <v>425</v>
      </c>
      <c r="AA43" s="45">
        <f>COUNTA(AA39:AA42)</f>
        <v>3</v>
      </c>
      <c r="AB43" s="45"/>
      <c r="AC43" s="45">
        <f>SUM(AC39:AC42)</f>
        <v>425</v>
      </c>
      <c r="AD43" s="45">
        <f>COUNTA(AD39:AD42)</f>
        <v>3</v>
      </c>
      <c r="AE43" s="45"/>
      <c r="AF43" s="45">
        <f>SUM(AF39:AF42)</f>
        <v>425</v>
      </c>
      <c r="AG43" s="45">
        <f>COUNTA(AG39:AG42)</f>
        <v>3</v>
      </c>
      <c r="AH43" s="45"/>
      <c r="AI43" s="45">
        <f>SUM(AI39:AI42)</f>
        <v>425</v>
      </c>
      <c r="AJ43" s="45">
        <f>COUNTA(AJ39:AJ42)</f>
        <v>3</v>
      </c>
      <c r="AK43" s="45"/>
      <c r="AL43" s="45">
        <f>SUM(AL39:AL42)</f>
        <v>425</v>
      </c>
      <c r="AM43" s="45">
        <f>COUNTA(AM39:AM42)</f>
        <v>3</v>
      </c>
      <c r="AN43" s="45"/>
      <c r="AO43" s="45">
        <f>SUM(AO39:AO42)</f>
        <v>425</v>
      </c>
    </row>
    <row r="45" spans="1:41" hidden="1" x14ac:dyDescent="0.55000000000000004">
      <c r="A45" s="283" t="s">
        <v>22</v>
      </c>
      <c r="B45" s="283"/>
      <c r="C45" s="262" t="s">
        <v>4</v>
      </c>
      <c r="D45" s="284"/>
      <c r="E45" s="263"/>
      <c r="F45" s="262" t="s">
        <v>5</v>
      </c>
      <c r="G45" s="284"/>
      <c r="H45" s="263"/>
      <c r="I45" s="262" t="s">
        <v>6</v>
      </c>
      <c r="J45" s="284"/>
      <c r="K45" s="263"/>
      <c r="L45" s="262" t="s">
        <v>7</v>
      </c>
      <c r="M45" s="284"/>
      <c r="N45" s="263"/>
      <c r="O45" s="262" t="s">
        <v>8</v>
      </c>
      <c r="P45" s="284"/>
      <c r="Q45" s="263"/>
      <c r="R45" s="262" t="s">
        <v>10</v>
      </c>
      <c r="S45" s="284"/>
      <c r="T45" s="263"/>
      <c r="U45" s="262" t="s">
        <v>11</v>
      </c>
      <c r="V45" s="284"/>
      <c r="W45" s="263"/>
      <c r="X45" s="262" t="s">
        <v>12</v>
      </c>
      <c r="Y45" s="284"/>
      <c r="Z45" s="263"/>
      <c r="AA45" s="262" t="s">
        <v>13</v>
      </c>
      <c r="AB45" s="284"/>
      <c r="AC45" s="263"/>
      <c r="AD45" s="262" t="s">
        <v>14</v>
      </c>
      <c r="AE45" s="284"/>
      <c r="AF45" s="263"/>
      <c r="AG45" s="262" t="s">
        <v>15</v>
      </c>
      <c r="AH45" s="284"/>
      <c r="AI45" s="263"/>
      <c r="AJ45" s="262" t="s">
        <v>16</v>
      </c>
      <c r="AK45" s="284"/>
      <c r="AL45" s="263"/>
      <c r="AM45" s="262" t="s">
        <v>4</v>
      </c>
      <c r="AN45" s="284"/>
      <c r="AO45" s="263"/>
    </row>
    <row r="46" spans="1:41" ht="18.5" hidden="1" thickBot="1" x14ac:dyDescent="0.6">
      <c r="A46" s="255" t="s">
        <v>153</v>
      </c>
      <c r="B46" s="255"/>
      <c r="C46" s="264">
        <v>13</v>
      </c>
      <c r="D46" s="282"/>
      <c r="E46" s="265"/>
      <c r="F46" s="264">
        <v>13</v>
      </c>
      <c r="G46" s="282"/>
      <c r="H46" s="265"/>
      <c r="I46" s="264">
        <v>13</v>
      </c>
      <c r="J46" s="282"/>
      <c r="K46" s="265"/>
      <c r="L46" s="264">
        <v>13</v>
      </c>
      <c r="M46" s="282"/>
      <c r="N46" s="265"/>
      <c r="O46" s="264">
        <v>15</v>
      </c>
      <c r="P46" s="282"/>
      <c r="Q46" s="265"/>
      <c r="R46" s="264">
        <v>15</v>
      </c>
      <c r="S46" s="282"/>
      <c r="T46" s="265"/>
      <c r="U46" s="264">
        <v>15</v>
      </c>
      <c r="V46" s="282"/>
      <c r="W46" s="265"/>
      <c r="X46" s="264"/>
      <c r="Y46" s="282"/>
      <c r="Z46" s="265"/>
      <c r="AA46" s="264"/>
      <c r="AB46" s="282"/>
      <c r="AC46" s="265"/>
      <c r="AD46" s="264"/>
      <c r="AE46" s="282"/>
      <c r="AF46" s="265"/>
      <c r="AG46" s="264"/>
      <c r="AH46" s="282"/>
      <c r="AI46" s="265"/>
      <c r="AJ46" s="264"/>
      <c r="AK46" s="282"/>
      <c r="AL46" s="265"/>
      <c r="AM46" s="264"/>
      <c r="AN46" s="282"/>
      <c r="AO46" s="265"/>
    </row>
    <row r="47" spans="1:41" ht="18.5" hidden="1" thickBot="1" x14ac:dyDescent="0.6">
      <c r="A47" s="256" t="s">
        <v>31</v>
      </c>
      <c r="B47" s="257"/>
      <c r="C47" s="266">
        <f>C72</f>
        <v>14</v>
      </c>
      <c r="D47" s="275"/>
      <c r="E47" s="267"/>
      <c r="F47" s="266">
        <f>F72</f>
        <v>14</v>
      </c>
      <c r="G47" s="275"/>
      <c r="H47" s="267"/>
      <c r="I47" s="266">
        <f>I72</f>
        <v>14</v>
      </c>
      <c r="J47" s="275"/>
      <c r="K47" s="267"/>
      <c r="L47" s="266">
        <f>L72</f>
        <v>14</v>
      </c>
      <c r="M47" s="275"/>
      <c r="N47" s="267"/>
      <c r="O47" s="266">
        <f>O72</f>
        <v>15</v>
      </c>
      <c r="P47" s="275"/>
      <c r="Q47" s="267"/>
      <c r="R47" s="266">
        <f>R72</f>
        <v>16</v>
      </c>
      <c r="S47" s="275"/>
      <c r="T47" s="267"/>
      <c r="U47" s="266">
        <f>U72</f>
        <v>16</v>
      </c>
      <c r="V47" s="275"/>
      <c r="W47" s="267"/>
      <c r="X47" s="266">
        <f>X72</f>
        <v>15</v>
      </c>
      <c r="Y47" s="275"/>
      <c r="Z47" s="267"/>
      <c r="AA47" s="266">
        <f>AA72</f>
        <v>15</v>
      </c>
      <c r="AB47" s="275"/>
      <c r="AC47" s="267"/>
      <c r="AD47" s="266">
        <f>AD72</f>
        <v>15</v>
      </c>
      <c r="AE47" s="275"/>
      <c r="AF47" s="267"/>
      <c r="AG47" s="266">
        <f>AG72</f>
        <v>15</v>
      </c>
      <c r="AH47" s="275"/>
      <c r="AI47" s="267"/>
      <c r="AJ47" s="266">
        <f>AJ72</f>
        <v>15</v>
      </c>
      <c r="AK47" s="275"/>
      <c r="AL47" s="267"/>
      <c r="AM47" s="266">
        <f>AM72</f>
        <v>15</v>
      </c>
      <c r="AN47" s="275"/>
      <c r="AO47" s="276"/>
    </row>
    <row r="48" spans="1:41" hidden="1" x14ac:dyDescent="0.55000000000000004">
      <c r="A48" s="258" t="s">
        <v>169</v>
      </c>
      <c r="B48" s="258"/>
      <c r="C48" s="277">
        <f>C47-C46</f>
        <v>1</v>
      </c>
      <c r="D48" s="281"/>
      <c r="E48" s="278"/>
      <c r="F48" s="277">
        <f>F47-F46</f>
        <v>1</v>
      </c>
      <c r="G48" s="281"/>
      <c r="H48" s="278"/>
      <c r="I48" s="277">
        <f>I47-I46</f>
        <v>1</v>
      </c>
      <c r="J48" s="281"/>
      <c r="K48" s="278"/>
      <c r="L48" s="277">
        <f>L47-L46</f>
        <v>1</v>
      </c>
      <c r="M48" s="281"/>
      <c r="N48" s="278"/>
      <c r="O48" s="277">
        <f>O47-O46</f>
        <v>0</v>
      </c>
      <c r="P48" s="281"/>
      <c r="Q48" s="278"/>
      <c r="R48" s="277">
        <f>R47-R46</f>
        <v>1</v>
      </c>
      <c r="S48" s="281"/>
      <c r="T48" s="278"/>
      <c r="U48" s="277">
        <f>U47-U46</f>
        <v>1</v>
      </c>
      <c r="V48" s="281"/>
      <c r="W48" s="278"/>
      <c r="X48" s="277">
        <f>X47-X46</f>
        <v>15</v>
      </c>
      <c r="Y48" s="281"/>
      <c r="Z48" s="278"/>
      <c r="AA48" s="277">
        <f>AA47-AA46</f>
        <v>15</v>
      </c>
      <c r="AB48" s="281"/>
      <c r="AC48" s="278"/>
      <c r="AD48" s="277">
        <f>AD47-AD46</f>
        <v>15</v>
      </c>
      <c r="AE48" s="281"/>
      <c r="AF48" s="278"/>
      <c r="AG48" s="277">
        <f>AG47-AG46</f>
        <v>15</v>
      </c>
      <c r="AH48" s="281"/>
      <c r="AI48" s="278"/>
      <c r="AJ48" s="277">
        <f>AJ47-AJ46</f>
        <v>15</v>
      </c>
      <c r="AK48" s="281"/>
      <c r="AL48" s="278"/>
      <c r="AM48" s="277">
        <f>AM47-AM46</f>
        <v>15</v>
      </c>
      <c r="AN48" s="281"/>
      <c r="AO48" s="278"/>
    </row>
    <row r="49" spans="1:41" hidden="1" x14ac:dyDescent="0.55000000000000004">
      <c r="A49" s="259" t="s">
        <v>17</v>
      </c>
      <c r="B49" s="259"/>
      <c r="C49" s="288">
        <f>D73</f>
        <v>2147</v>
      </c>
      <c r="D49" s="289"/>
      <c r="E49" s="290"/>
      <c r="F49" s="288">
        <f>G73</f>
        <v>2192</v>
      </c>
      <c r="G49" s="289"/>
      <c r="H49" s="290"/>
      <c r="I49" s="288">
        <f>J73</f>
        <v>2192</v>
      </c>
      <c r="J49" s="289"/>
      <c r="K49" s="290"/>
      <c r="L49" s="288">
        <f>M73</f>
        <v>2192</v>
      </c>
      <c r="M49" s="289"/>
      <c r="N49" s="290"/>
      <c r="O49" s="288">
        <f>P73</f>
        <v>2227</v>
      </c>
      <c r="P49" s="289"/>
      <c r="Q49" s="290"/>
      <c r="R49" s="288">
        <f>S73</f>
        <v>2353</v>
      </c>
      <c r="S49" s="289"/>
      <c r="T49" s="290"/>
      <c r="U49" s="288">
        <f>V73</f>
        <v>2353</v>
      </c>
      <c r="V49" s="289"/>
      <c r="W49" s="290"/>
      <c r="X49" s="288">
        <f>Y73</f>
        <v>2238</v>
      </c>
      <c r="Y49" s="289"/>
      <c r="Z49" s="290"/>
      <c r="AA49" s="288">
        <f>AB73</f>
        <v>2218</v>
      </c>
      <c r="AB49" s="289"/>
      <c r="AC49" s="290"/>
      <c r="AD49" s="288">
        <f>AE73</f>
        <v>2218</v>
      </c>
      <c r="AE49" s="289"/>
      <c r="AF49" s="290"/>
      <c r="AG49" s="288">
        <f>AH73</f>
        <v>2218</v>
      </c>
      <c r="AH49" s="289"/>
      <c r="AI49" s="290"/>
      <c r="AJ49" s="288">
        <f>AK73</f>
        <v>2218</v>
      </c>
      <c r="AK49" s="289"/>
      <c r="AL49" s="290"/>
      <c r="AM49" s="288">
        <f>AN73</f>
        <v>2218</v>
      </c>
      <c r="AN49" s="289"/>
      <c r="AO49" s="290"/>
    </row>
    <row r="50" spans="1:41" hidden="1" x14ac:dyDescent="0.55000000000000004">
      <c r="C50" s="54"/>
      <c r="D50" s="54"/>
      <c r="L50" s="53"/>
      <c r="M50" s="53"/>
      <c r="N50" s="52"/>
      <c r="O50" s="54"/>
      <c r="P50" s="54"/>
    </row>
    <row r="51" spans="1:41" hidden="1" x14ac:dyDescent="0.55000000000000004">
      <c r="C51" s="26" t="s">
        <v>209</v>
      </c>
      <c r="D51" s="26"/>
    </row>
    <row r="52" spans="1:41" ht="12.5" hidden="1" customHeight="1" x14ac:dyDescent="0.55000000000000004">
      <c r="C52" s="285" t="s">
        <v>4</v>
      </c>
      <c r="D52" s="286"/>
      <c r="E52" s="287"/>
      <c r="F52" s="285" t="s">
        <v>5</v>
      </c>
      <c r="G52" s="286"/>
      <c r="H52" s="287"/>
      <c r="I52" s="285" t="s">
        <v>6</v>
      </c>
      <c r="J52" s="286"/>
      <c r="K52" s="287"/>
      <c r="L52" s="285" t="s">
        <v>7</v>
      </c>
      <c r="M52" s="286"/>
      <c r="N52" s="287"/>
      <c r="O52" s="285" t="s">
        <v>8</v>
      </c>
      <c r="P52" s="286"/>
      <c r="Q52" s="287"/>
      <c r="R52" s="285" t="s">
        <v>10</v>
      </c>
      <c r="S52" s="286"/>
      <c r="T52" s="287"/>
      <c r="U52" s="285" t="s">
        <v>11</v>
      </c>
      <c r="V52" s="286"/>
      <c r="W52" s="287"/>
      <c r="X52" s="285" t="s">
        <v>12</v>
      </c>
      <c r="Y52" s="286"/>
      <c r="Z52" s="287"/>
      <c r="AA52" s="285" t="s">
        <v>13</v>
      </c>
      <c r="AB52" s="286"/>
      <c r="AC52" s="287"/>
      <c r="AD52" s="285" t="s">
        <v>14</v>
      </c>
      <c r="AE52" s="286"/>
      <c r="AF52" s="287"/>
      <c r="AG52" s="285" t="s">
        <v>15</v>
      </c>
      <c r="AH52" s="286"/>
      <c r="AI52" s="287"/>
      <c r="AJ52" s="285" t="s">
        <v>16</v>
      </c>
      <c r="AK52" s="286"/>
      <c r="AL52" s="287"/>
      <c r="AM52" s="285" t="s">
        <v>4</v>
      </c>
      <c r="AN52" s="286"/>
      <c r="AO52" s="287"/>
    </row>
    <row r="53" spans="1:41" ht="10.5" hidden="1" customHeight="1" x14ac:dyDescent="0.55000000000000004">
      <c r="C53" s="136" t="s">
        <v>378</v>
      </c>
      <c r="D53" s="139" t="s">
        <v>379</v>
      </c>
      <c r="E53" s="137" t="s">
        <v>363</v>
      </c>
      <c r="F53" s="136" t="s">
        <v>378</v>
      </c>
      <c r="G53" s="139" t="s">
        <v>379</v>
      </c>
      <c r="H53" s="137" t="s">
        <v>363</v>
      </c>
      <c r="I53" s="136" t="s">
        <v>378</v>
      </c>
      <c r="J53" s="139" t="s">
        <v>379</v>
      </c>
      <c r="K53" s="137" t="s">
        <v>363</v>
      </c>
      <c r="L53" s="136" t="s">
        <v>378</v>
      </c>
      <c r="M53" s="139" t="s">
        <v>379</v>
      </c>
      <c r="N53" s="137" t="s">
        <v>363</v>
      </c>
      <c r="O53" s="136" t="s">
        <v>378</v>
      </c>
      <c r="P53" s="139" t="s">
        <v>379</v>
      </c>
      <c r="Q53" s="137" t="s">
        <v>363</v>
      </c>
      <c r="R53" s="136" t="s">
        <v>378</v>
      </c>
      <c r="S53" s="139" t="s">
        <v>379</v>
      </c>
      <c r="T53" s="137" t="s">
        <v>363</v>
      </c>
      <c r="U53" s="136" t="s">
        <v>378</v>
      </c>
      <c r="V53" s="139" t="s">
        <v>379</v>
      </c>
      <c r="W53" s="137" t="s">
        <v>363</v>
      </c>
      <c r="X53" s="136" t="s">
        <v>378</v>
      </c>
      <c r="Y53" s="139" t="s">
        <v>379</v>
      </c>
      <c r="Z53" s="137" t="s">
        <v>363</v>
      </c>
      <c r="AA53" s="136" t="s">
        <v>378</v>
      </c>
      <c r="AB53" s="139" t="s">
        <v>379</v>
      </c>
      <c r="AC53" s="137" t="s">
        <v>363</v>
      </c>
      <c r="AD53" s="136" t="s">
        <v>378</v>
      </c>
      <c r="AE53" s="139" t="s">
        <v>379</v>
      </c>
      <c r="AF53" s="137" t="s">
        <v>363</v>
      </c>
      <c r="AG53" s="136" t="s">
        <v>378</v>
      </c>
      <c r="AH53" s="139" t="s">
        <v>379</v>
      </c>
      <c r="AI53" s="137" t="s">
        <v>363</v>
      </c>
      <c r="AJ53" s="136" t="s">
        <v>378</v>
      </c>
      <c r="AK53" s="139" t="s">
        <v>379</v>
      </c>
      <c r="AL53" s="137" t="s">
        <v>363</v>
      </c>
      <c r="AM53" s="136" t="s">
        <v>378</v>
      </c>
      <c r="AN53" s="139" t="s">
        <v>379</v>
      </c>
      <c r="AO53" s="137" t="s">
        <v>363</v>
      </c>
    </row>
    <row r="54" spans="1:41" hidden="1" x14ac:dyDescent="0.55000000000000004">
      <c r="C54" s="45" t="s">
        <v>220</v>
      </c>
      <c r="D54" s="113">
        <v>165</v>
      </c>
      <c r="E54" s="113">
        <v>4</v>
      </c>
      <c r="F54" s="45" t="s">
        <v>220</v>
      </c>
      <c r="G54" s="113">
        <v>165</v>
      </c>
      <c r="H54" s="113">
        <v>4</v>
      </c>
      <c r="I54" s="45" t="s">
        <v>220</v>
      </c>
      <c r="J54" s="113">
        <v>165</v>
      </c>
      <c r="K54" s="113">
        <v>4</v>
      </c>
      <c r="L54" s="45" t="s">
        <v>220</v>
      </c>
      <c r="M54" s="113">
        <v>165</v>
      </c>
      <c r="N54" s="113">
        <v>4</v>
      </c>
      <c r="O54" s="45" t="s">
        <v>220</v>
      </c>
      <c r="P54" s="113">
        <v>165</v>
      </c>
      <c r="Q54" s="113">
        <v>4</v>
      </c>
      <c r="R54" s="45" t="s">
        <v>220</v>
      </c>
      <c r="S54" s="113">
        <v>165</v>
      </c>
      <c r="T54" s="113">
        <v>4</v>
      </c>
      <c r="U54" s="45" t="s">
        <v>220</v>
      </c>
      <c r="V54" s="113">
        <v>165</v>
      </c>
      <c r="W54" s="113">
        <v>4</v>
      </c>
      <c r="X54" s="45" t="s">
        <v>220</v>
      </c>
      <c r="Y54" s="113">
        <v>165</v>
      </c>
      <c r="Z54" s="113">
        <v>4</v>
      </c>
      <c r="AA54" s="45" t="s">
        <v>220</v>
      </c>
      <c r="AB54" s="113">
        <v>165</v>
      </c>
      <c r="AC54" s="113">
        <v>4</v>
      </c>
      <c r="AD54" s="45" t="s">
        <v>220</v>
      </c>
      <c r="AE54" s="113">
        <v>165</v>
      </c>
      <c r="AF54" s="113">
        <v>4</v>
      </c>
      <c r="AG54" s="45" t="s">
        <v>220</v>
      </c>
      <c r="AH54" s="113">
        <v>165</v>
      </c>
      <c r="AI54" s="113">
        <v>4</v>
      </c>
      <c r="AJ54" s="45" t="s">
        <v>220</v>
      </c>
      <c r="AK54" s="113">
        <v>165</v>
      </c>
      <c r="AL54" s="113">
        <v>4</v>
      </c>
      <c r="AM54" s="45" t="s">
        <v>220</v>
      </c>
      <c r="AN54" s="113">
        <v>165</v>
      </c>
      <c r="AO54" s="113">
        <v>4</v>
      </c>
    </row>
    <row r="55" spans="1:41" hidden="1" x14ac:dyDescent="0.55000000000000004">
      <c r="C55" s="45" t="s">
        <v>221</v>
      </c>
      <c r="D55" s="113">
        <v>130</v>
      </c>
      <c r="E55" s="113">
        <v>4</v>
      </c>
      <c r="F55" s="45" t="s">
        <v>221</v>
      </c>
      <c r="G55" s="113">
        <v>130</v>
      </c>
      <c r="H55" s="113">
        <v>4</v>
      </c>
      <c r="I55" s="45" t="s">
        <v>221</v>
      </c>
      <c r="J55" s="113">
        <v>130</v>
      </c>
      <c r="K55" s="113">
        <v>4</v>
      </c>
      <c r="L55" s="45" t="s">
        <v>221</v>
      </c>
      <c r="M55" s="113">
        <v>130</v>
      </c>
      <c r="N55" s="113">
        <v>4</v>
      </c>
      <c r="O55" s="45" t="s">
        <v>221</v>
      </c>
      <c r="P55" s="113">
        <v>130</v>
      </c>
      <c r="Q55" s="113">
        <v>4</v>
      </c>
      <c r="R55" s="45" t="s">
        <v>221</v>
      </c>
      <c r="S55" s="113">
        <v>130</v>
      </c>
      <c r="T55" s="113">
        <v>4</v>
      </c>
      <c r="U55" s="45" t="s">
        <v>221</v>
      </c>
      <c r="V55" s="113">
        <v>130</v>
      </c>
      <c r="W55" s="113">
        <v>4</v>
      </c>
      <c r="X55" s="45" t="s">
        <v>221</v>
      </c>
      <c r="Y55" s="113">
        <v>130</v>
      </c>
      <c r="Z55" s="113">
        <v>4</v>
      </c>
      <c r="AA55" s="45" t="s">
        <v>221</v>
      </c>
      <c r="AB55" s="113">
        <v>130</v>
      </c>
      <c r="AC55" s="113">
        <v>4</v>
      </c>
      <c r="AD55" s="45" t="s">
        <v>221</v>
      </c>
      <c r="AE55" s="113">
        <v>130</v>
      </c>
      <c r="AF55" s="113">
        <v>4</v>
      </c>
      <c r="AG55" s="45" t="s">
        <v>221</v>
      </c>
      <c r="AH55" s="113">
        <v>130</v>
      </c>
      <c r="AI55" s="113">
        <v>4</v>
      </c>
      <c r="AJ55" s="45" t="s">
        <v>221</v>
      </c>
      <c r="AK55" s="113">
        <v>130</v>
      </c>
      <c r="AL55" s="113">
        <v>4</v>
      </c>
      <c r="AM55" s="45" t="s">
        <v>221</v>
      </c>
      <c r="AN55" s="113">
        <v>130</v>
      </c>
      <c r="AO55" s="113">
        <v>4</v>
      </c>
    </row>
    <row r="56" spans="1:41" hidden="1" x14ac:dyDescent="0.55000000000000004">
      <c r="C56" s="45" t="s">
        <v>222</v>
      </c>
      <c r="D56" s="113">
        <v>165</v>
      </c>
      <c r="E56" s="113">
        <v>10</v>
      </c>
      <c r="F56" s="45" t="s">
        <v>222</v>
      </c>
      <c r="G56" s="113">
        <v>165</v>
      </c>
      <c r="H56" s="113">
        <v>10</v>
      </c>
      <c r="I56" s="45" t="s">
        <v>222</v>
      </c>
      <c r="J56" s="113">
        <v>165</v>
      </c>
      <c r="K56" s="113">
        <v>10</v>
      </c>
      <c r="L56" s="45" t="s">
        <v>222</v>
      </c>
      <c r="M56" s="113">
        <v>165</v>
      </c>
      <c r="N56" s="113">
        <v>10</v>
      </c>
      <c r="O56" s="45" t="s">
        <v>222</v>
      </c>
      <c r="P56" s="113">
        <v>165</v>
      </c>
      <c r="Q56" s="113">
        <v>10</v>
      </c>
      <c r="R56" s="45" t="s">
        <v>222</v>
      </c>
      <c r="S56" s="113">
        <v>165</v>
      </c>
      <c r="T56" s="113">
        <v>10</v>
      </c>
      <c r="U56" s="45" t="s">
        <v>222</v>
      </c>
      <c r="V56" s="113">
        <v>165</v>
      </c>
      <c r="W56" s="113">
        <v>10</v>
      </c>
      <c r="X56" s="45" t="s">
        <v>222</v>
      </c>
      <c r="Y56" s="113">
        <v>165</v>
      </c>
      <c r="Z56" s="113">
        <v>10</v>
      </c>
      <c r="AA56" s="45" t="s">
        <v>222</v>
      </c>
      <c r="AB56" s="113">
        <v>165</v>
      </c>
      <c r="AC56" s="113">
        <v>10</v>
      </c>
      <c r="AD56" s="45" t="s">
        <v>222</v>
      </c>
      <c r="AE56" s="113">
        <v>165</v>
      </c>
      <c r="AF56" s="113">
        <v>10</v>
      </c>
      <c r="AG56" s="45" t="s">
        <v>222</v>
      </c>
      <c r="AH56" s="113">
        <v>165</v>
      </c>
      <c r="AI56" s="113">
        <v>10</v>
      </c>
      <c r="AJ56" s="45" t="s">
        <v>222</v>
      </c>
      <c r="AK56" s="113">
        <v>165</v>
      </c>
      <c r="AL56" s="113">
        <v>10</v>
      </c>
      <c r="AM56" s="45" t="s">
        <v>222</v>
      </c>
      <c r="AN56" s="113">
        <v>165</v>
      </c>
      <c r="AO56" s="113">
        <v>10</v>
      </c>
    </row>
    <row r="57" spans="1:41" hidden="1" x14ac:dyDescent="0.55000000000000004">
      <c r="C57" s="45" t="s">
        <v>223</v>
      </c>
      <c r="D57" s="113">
        <v>200</v>
      </c>
      <c r="E57" s="113">
        <v>20</v>
      </c>
      <c r="F57" s="45" t="s">
        <v>223</v>
      </c>
      <c r="G57" s="113">
        <v>200</v>
      </c>
      <c r="H57" s="113">
        <v>20</v>
      </c>
      <c r="I57" s="45" t="s">
        <v>223</v>
      </c>
      <c r="J57" s="113">
        <v>200</v>
      </c>
      <c r="K57" s="113">
        <v>20</v>
      </c>
      <c r="L57" s="45" t="s">
        <v>223</v>
      </c>
      <c r="M57" s="113">
        <v>200</v>
      </c>
      <c r="N57" s="113">
        <v>20</v>
      </c>
      <c r="O57" s="45" t="s">
        <v>223</v>
      </c>
      <c r="P57" s="113">
        <v>200</v>
      </c>
      <c r="Q57" s="113">
        <v>20</v>
      </c>
      <c r="R57" s="45" t="s">
        <v>223</v>
      </c>
      <c r="S57" s="113">
        <v>200</v>
      </c>
      <c r="T57" s="113">
        <v>20</v>
      </c>
      <c r="U57" s="45" t="s">
        <v>223</v>
      </c>
      <c r="V57" s="113">
        <v>200</v>
      </c>
      <c r="W57" s="113">
        <v>20</v>
      </c>
      <c r="X57" s="45" t="s">
        <v>223</v>
      </c>
      <c r="Y57" s="113">
        <v>200</v>
      </c>
      <c r="Z57" s="113">
        <v>20</v>
      </c>
      <c r="AA57" s="45" t="s">
        <v>223</v>
      </c>
      <c r="AB57" s="113">
        <v>200</v>
      </c>
      <c r="AC57" s="113">
        <v>20</v>
      </c>
      <c r="AD57" s="45" t="s">
        <v>223</v>
      </c>
      <c r="AE57" s="113">
        <v>200</v>
      </c>
      <c r="AF57" s="113">
        <v>20</v>
      </c>
      <c r="AG57" s="45" t="s">
        <v>223</v>
      </c>
      <c r="AH57" s="113">
        <v>200</v>
      </c>
      <c r="AI57" s="113">
        <v>20</v>
      </c>
      <c r="AJ57" s="45" t="s">
        <v>223</v>
      </c>
      <c r="AK57" s="113">
        <v>200</v>
      </c>
      <c r="AL57" s="113">
        <v>20</v>
      </c>
      <c r="AM57" s="45" t="s">
        <v>223</v>
      </c>
      <c r="AN57" s="113">
        <v>200</v>
      </c>
      <c r="AO57" s="113">
        <v>20</v>
      </c>
    </row>
    <row r="58" spans="1:41" hidden="1" x14ac:dyDescent="0.55000000000000004">
      <c r="C58" s="45" t="s">
        <v>370</v>
      </c>
      <c r="D58" s="113">
        <v>200</v>
      </c>
      <c r="E58" s="113">
        <v>20</v>
      </c>
      <c r="F58" s="45" t="s">
        <v>370</v>
      </c>
      <c r="G58" s="113">
        <v>200</v>
      </c>
      <c r="H58" s="113">
        <v>20</v>
      </c>
      <c r="I58" s="45" t="s">
        <v>370</v>
      </c>
      <c r="J58" s="113">
        <v>200</v>
      </c>
      <c r="K58" s="113">
        <v>20</v>
      </c>
      <c r="L58" s="45" t="s">
        <v>370</v>
      </c>
      <c r="M58" s="113">
        <v>200</v>
      </c>
      <c r="N58" s="113">
        <v>20</v>
      </c>
      <c r="O58" s="45" t="s">
        <v>370</v>
      </c>
      <c r="P58" s="113">
        <v>200</v>
      </c>
      <c r="Q58" s="113">
        <v>20</v>
      </c>
      <c r="R58" s="45" t="s">
        <v>370</v>
      </c>
      <c r="S58" s="113">
        <v>200</v>
      </c>
      <c r="T58" s="113">
        <v>20</v>
      </c>
      <c r="U58" s="45" t="s">
        <v>370</v>
      </c>
      <c r="V58" s="113">
        <v>200</v>
      </c>
      <c r="W58" s="113">
        <v>20</v>
      </c>
      <c r="X58" s="45" t="s">
        <v>370</v>
      </c>
      <c r="Y58" s="113">
        <v>200</v>
      </c>
      <c r="Z58" s="113">
        <v>20</v>
      </c>
      <c r="AA58" s="45" t="s">
        <v>370</v>
      </c>
      <c r="AB58" s="113">
        <v>200</v>
      </c>
      <c r="AC58" s="113">
        <v>20</v>
      </c>
      <c r="AD58" s="45" t="s">
        <v>370</v>
      </c>
      <c r="AE58" s="113">
        <v>200</v>
      </c>
      <c r="AF58" s="113">
        <v>20</v>
      </c>
      <c r="AG58" s="45" t="s">
        <v>370</v>
      </c>
      <c r="AH58" s="113">
        <v>200</v>
      </c>
      <c r="AI58" s="113">
        <v>20</v>
      </c>
      <c r="AJ58" s="45" t="s">
        <v>370</v>
      </c>
      <c r="AK58" s="113">
        <v>200</v>
      </c>
      <c r="AL58" s="113">
        <v>20</v>
      </c>
      <c r="AM58" s="45" t="s">
        <v>370</v>
      </c>
      <c r="AN58" s="113">
        <v>200</v>
      </c>
      <c r="AO58" s="113">
        <v>20</v>
      </c>
    </row>
    <row r="59" spans="1:41" hidden="1" x14ac:dyDescent="0.55000000000000004">
      <c r="C59" s="45" t="s">
        <v>375</v>
      </c>
      <c r="D59" s="113">
        <v>200</v>
      </c>
      <c r="E59" s="113">
        <v>50</v>
      </c>
      <c r="F59" s="45" t="s">
        <v>375</v>
      </c>
      <c r="G59" s="113">
        <v>200</v>
      </c>
      <c r="H59" s="113">
        <v>50</v>
      </c>
      <c r="I59" s="45" t="s">
        <v>375</v>
      </c>
      <c r="J59" s="113">
        <v>200</v>
      </c>
      <c r="K59" s="113">
        <v>50</v>
      </c>
      <c r="L59" s="45" t="s">
        <v>375</v>
      </c>
      <c r="M59" s="113">
        <v>200</v>
      </c>
      <c r="N59" s="113">
        <v>50</v>
      </c>
      <c r="O59" s="45" t="s">
        <v>375</v>
      </c>
      <c r="P59" s="113">
        <v>200</v>
      </c>
      <c r="Q59" s="113">
        <v>50</v>
      </c>
      <c r="R59" s="45" t="s">
        <v>375</v>
      </c>
      <c r="S59" s="113">
        <v>200</v>
      </c>
      <c r="T59" s="113">
        <v>50</v>
      </c>
      <c r="U59" s="45" t="s">
        <v>375</v>
      </c>
      <c r="V59" s="113">
        <v>200</v>
      </c>
      <c r="W59" s="113">
        <v>50</v>
      </c>
      <c r="X59" s="45" t="s">
        <v>375</v>
      </c>
      <c r="Y59" s="113">
        <v>200</v>
      </c>
      <c r="Z59" s="113">
        <v>50</v>
      </c>
      <c r="AA59" s="45" t="s">
        <v>375</v>
      </c>
      <c r="AB59" s="113">
        <v>200</v>
      </c>
      <c r="AC59" s="113">
        <v>50</v>
      </c>
      <c r="AD59" s="45" t="s">
        <v>375</v>
      </c>
      <c r="AE59" s="113">
        <v>200</v>
      </c>
      <c r="AF59" s="113">
        <v>50</v>
      </c>
      <c r="AG59" s="45" t="s">
        <v>375</v>
      </c>
      <c r="AH59" s="113">
        <v>200</v>
      </c>
      <c r="AI59" s="113">
        <v>50</v>
      </c>
      <c r="AJ59" s="45" t="s">
        <v>375</v>
      </c>
      <c r="AK59" s="113">
        <v>200</v>
      </c>
      <c r="AL59" s="113">
        <v>50</v>
      </c>
      <c r="AM59" s="45" t="s">
        <v>375</v>
      </c>
      <c r="AN59" s="113">
        <v>200</v>
      </c>
      <c r="AO59" s="113">
        <v>50</v>
      </c>
    </row>
    <row r="60" spans="1:41" hidden="1" x14ac:dyDescent="0.55000000000000004">
      <c r="C60" s="45" t="s">
        <v>224</v>
      </c>
      <c r="D60" s="113">
        <v>165</v>
      </c>
      <c r="E60" s="113">
        <v>20</v>
      </c>
      <c r="F60" s="45" t="s">
        <v>224</v>
      </c>
      <c r="G60" s="113">
        <v>165</v>
      </c>
      <c r="H60" s="113">
        <v>20</v>
      </c>
      <c r="I60" s="45" t="s">
        <v>224</v>
      </c>
      <c r="J60" s="113">
        <v>165</v>
      </c>
      <c r="K60" s="113">
        <v>20</v>
      </c>
      <c r="L60" s="45" t="s">
        <v>224</v>
      </c>
      <c r="M60" s="113">
        <v>165</v>
      </c>
      <c r="N60" s="113">
        <v>20</v>
      </c>
      <c r="O60" s="45" t="s">
        <v>224</v>
      </c>
      <c r="P60" s="113">
        <v>165</v>
      </c>
      <c r="Q60" s="113">
        <v>20</v>
      </c>
      <c r="R60" s="45" t="s">
        <v>224</v>
      </c>
      <c r="S60" s="113">
        <v>165</v>
      </c>
      <c r="T60" s="113">
        <v>20</v>
      </c>
      <c r="U60" s="45" t="s">
        <v>224</v>
      </c>
      <c r="V60" s="113">
        <v>165</v>
      </c>
      <c r="W60" s="113">
        <v>20</v>
      </c>
      <c r="X60" s="45" t="s">
        <v>224</v>
      </c>
      <c r="Y60" s="113">
        <v>165</v>
      </c>
      <c r="Z60" s="113">
        <v>20</v>
      </c>
      <c r="AA60" s="45" t="s">
        <v>224</v>
      </c>
      <c r="AB60" s="113">
        <v>165</v>
      </c>
      <c r="AC60" s="113">
        <v>20</v>
      </c>
      <c r="AD60" s="45" t="s">
        <v>224</v>
      </c>
      <c r="AE60" s="113">
        <v>165</v>
      </c>
      <c r="AF60" s="113">
        <v>20</v>
      </c>
      <c r="AG60" s="45" t="s">
        <v>224</v>
      </c>
      <c r="AH60" s="113">
        <v>165</v>
      </c>
      <c r="AI60" s="113">
        <v>20</v>
      </c>
      <c r="AJ60" s="45" t="s">
        <v>224</v>
      </c>
      <c r="AK60" s="113">
        <v>165</v>
      </c>
      <c r="AL60" s="113">
        <v>20</v>
      </c>
      <c r="AM60" s="45" t="s">
        <v>224</v>
      </c>
      <c r="AN60" s="113">
        <v>165</v>
      </c>
      <c r="AO60" s="113">
        <v>20</v>
      </c>
    </row>
    <row r="61" spans="1:41" hidden="1" x14ac:dyDescent="0.55000000000000004">
      <c r="C61" s="45" t="s">
        <v>225</v>
      </c>
      <c r="D61" s="113">
        <v>165</v>
      </c>
      <c r="E61" s="113">
        <v>20</v>
      </c>
      <c r="F61" s="45" t="s">
        <v>225</v>
      </c>
      <c r="G61" s="113">
        <v>165</v>
      </c>
      <c r="H61" s="113">
        <v>20</v>
      </c>
      <c r="I61" s="45" t="s">
        <v>225</v>
      </c>
      <c r="J61" s="113">
        <v>165</v>
      </c>
      <c r="K61" s="113">
        <v>20</v>
      </c>
      <c r="L61" s="45" t="s">
        <v>225</v>
      </c>
      <c r="M61" s="113">
        <v>165</v>
      </c>
      <c r="N61" s="113">
        <v>20</v>
      </c>
      <c r="O61" s="45" t="s">
        <v>225</v>
      </c>
      <c r="P61" s="113">
        <v>165</v>
      </c>
      <c r="Q61" s="113">
        <v>20</v>
      </c>
      <c r="R61" s="45" t="s">
        <v>225</v>
      </c>
      <c r="S61" s="113">
        <v>165</v>
      </c>
      <c r="T61" s="113">
        <v>20</v>
      </c>
      <c r="U61" s="45" t="s">
        <v>225</v>
      </c>
      <c r="V61" s="113">
        <v>165</v>
      </c>
      <c r="W61" s="113">
        <v>20</v>
      </c>
      <c r="X61" s="45" t="s">
        <v>225</v>
      </c>
      <c r="Y61" s="113">
        <v>165</v>
      </c>
      <c r="Z61" s="113">
        <v>20</v>
      </c>
      <c r="AA61" s="45" t="s">
        <v>225</v>
      </c>
      <c r="AB61" s="113">
        <v>165</v>
      </c>
      <c r="AC61" s="113">
        <v>20</v>
      </c>
      <c r="AD61" s="45" t="s">
        <v>225</v>
      </c>
      <c r="AE61" s="113">
        <v>165</v>
      </c>
      <c r="AF61" s="113">
        <v>20</v>
      </c>
      <c r="AG61" s="45" t="s">
        <v>225</v>
      </c>
      <c r="AH61" s="113">
        <v>165</v>
      </c>
      <c r="AI61" s="113">
        <v>20</v>
      </c>
      <c r="AJ61" s="45" t="s">
        <v>225</v>
      </c>
      <c r="AK61" s="113">
        <v>165</v>
      </c>
      <c r="AL61" s="113">
        <v>20</v>
      </c>
      <c r="AM61" s="45" t="s">
        <v>225</v>
      </c>
      <c r="AN61" s="113">
        <v>165</v>
      </c>
      <c r="AO61" s="113">
        <v>20</v>
      </c>
    </row>
    <row r="62" spans="1:41" hidden="1" x14ac:dyDescent="0.55000000000000004">
      <c r="C62" s="45" t="s">
        <v>226</v>
      </c>
      <c r="D62" s="113">
        <v>165</v>
      </c>
      <c r="E62" s="113">
        <v>50</v>
      </c>
      <c r="F62" s="45" t="s">
        <v>226</v>
      </c>
      <c r="G62" s="113">
        <v>165</v>
      </c>
      <c r="H62" s="113">
        <v>50</v>
      </c>
      <c r="I62" s="45" t="s">
        <v>226</v>
      </c>
      <c r="J62" s="113">
        <v>165</v>
      </c>
      <c r="K62" s="113">
        <v>50</v>
      </c>
      <c r="L62" s="45" t="s">
        <v>226</v>
      </c>
      <c r="M62" s="113">
        <v>165</v>
      </c>
      <c r="N62" s="113">
        <v>50</v>
      </c>
      <c r="O62" s="45" t="s">
        <v>226</v>
      </c>
      <c r="P62" s="113">
        <v>165</v>
      </c>
      <c r="Q62" s="113">
        <v>50</v>
      </c>
      <c r="R62" s="45" t="s">
        <v>226</v>
      </c>
      <c r="S62" s="113">
        <v>165</v>
      </c>
      <c r="T62" s="113">
        <v>50</v>
      </c>
      <c r="U62" s="45" t="s">
        <v>226</v>
      </c>
      <c r="V62" s="113">
        <v>165</v>
      </c>
      <c r="W62" s="113">
        <v>50</v>
      </c>
      <c r="X62" s="48"/>
      <c r="Y62" s="163"/>
      <c r="Z62" s="163"/>
      <c r="AA62" s="48"/>
      <c r="AB62" s="163"/>
      <c r="AC62" s="163"/>
      <c r="AD62" s="48"/>
      <c r="AE62" s="163"/>
      <c r="AF62" s="163"/>
      <c r="AG62" s="48"/>
      <c r="AH62" s="163"/>
      <c r="AI62" s="163"/>
      <c r="AJ62" s="48"/>
      <c r="AK62" s="163"/>
      <c r="AL62" s="163"/>
      <c r="AM62" s="48"/>
      <c r="AN62" s="163"/>
      <c r="AO62" s="163"/>
    </row>
    <row r="63" spans="1:41" hidden="1" x14ac:dyDescent="0.55000000000000004">
      <c r="C63" s="45" t="s">
        <v>227</v>
      </c>
      <c r="D63" s="113">
        <v>200</v>
      </c>
      <c r="E63" s="113">
        <v>10</v>
      </c>
      <c r="F63" s="45" t="s">
        <v>227</v>
      </c>
      <c r="G63" s="113">
        <v>200</v>
      </c>
      <c r="H63" s="113">
        <v>10</v>
      </c>
      <c r="I63" s="45" t="s">
        <v>227</v>
      </c>
      <c r="J63" s="113">
        <v>200</v>
      </c>
      <c r="K63" s="113">
        <v>10</v>
      </c>
      <c r="L63" s="45" t="s">
        <v>227</v>
      </c>
      <c r="M63" s="113">
        <v>200</v>
      </c>
      <c r="N63" s="113">
        <v>10</v>
      </c>
      <c r="O63" s="45" t="s">
        <v>227</v>
      </c>
      <c r="P63" s="113">
        <v>200</v>
      </c>
      <c r="Q63" s="113">
        <v>10</v>
      </c>
      <c r="R63" s="45" t="s">
        <v>227</v>
      </c>
      <c r="S63" s="113">
        <v>200</v>
      </c>
      <c r="T63" s="113">
        <v>10</v>
      </c>
      <c r="U63" s="45" t="s">
        <v>227</v>
      </c>
      <c r="V63" s="113">
        <v>200</v>
      </c>
      <c r="W63" s="113">
        <v>10</v>
      </c>
      <c r="X63" s="45" t="s">
        <v>227</v>
      </c>
      <c r="Y63" s="113">
        <v>200</v>
      </c>
      <c r="Z63" s="113">
        <v>10</v>
      </c>
      <c r="AA63" s="45" t="s">
        <v>227</v>
      </c>
      <c r="AB63" s="113">
        <v>200</v>
      </c>
      <c r="AC63" s="113">
        <v>10</v>
      </c>
      <c r="AD63" s="45" t="s">
        <v>227</v>
      </c>
      <c r="AE63" s="113">
        <v>200</v>
      </c>
      <c r="AF63" s="113">
        <v>10</v>
      </c>
      <c r="AG63" s="45" t="s">
        <v>227</v>
      </c>
      <c r="AH63" s="113">
        <v>200</v>
      </c>
      <c r="AI63" s="113">
        <v>10</v>
      </c>
      <c r="AJ63" s="45" t="s">
        <v>227</v>
      </c>
      <c r="AK63" s="113">
        <v>200</v>
      </c>
      <c r="AL63" s="113">
        <v>10</v>
      </c>
      <c r="AM63" s="45" t="s">
        <v>227</v>
      </c>
      <c r="AN63" s="113">
        <v>200</v>
      </c>
      <c r="AO63" s="113">
        <v>10</v>
      </c>
    </row>
    <row r="64" spans="1:41" hidden="1" x14ac:dyDescent="0.55000000000000004">
      <c r="C64" s="45" t="s">
        <v>228</v>
      </c>
      <c r="D64" s="113">
        <v>165</v>
      </c>
      <c r="E64" s="113">
        <v>10</v>
      </c>
      <c r="F64" s="45" t="s">
        <v>228</v>
      </c>
      <c r="G64" s="113">
        <v>165</v>
      </c>
      <c r="H64" s="113">
        <v>10</v>
      </c>
      <c r="I64" s="45" t="s">
        <v>228</v>
      </c>
      <c r="J64" s="113">
        <v>165</v>
      </c>
      <c r="K64" s="113">
        <v>10</v>
      </c>
      <c r="L64" s="45" t="s">
        <v>228</v>
      </c>
      <c r="M64" s="113">
        <v>165</v>
      </c>
      <c r="N64" s="113">
        <v>10</v>
      </c>
      <c r="O64" s="48"/>
      <c r="P64" s="163"/>
      <c r="Q64" s="163"/>
      <c r="R64" s="48"/>
      <c r="S64" s="163"/>
      <c r="T64" s="163"/>
      <c r="U64" s="48"/>
      <c r="V64" s="163"/>
      <c r="W64" s="163"/>
      <c r="X64" s="48"/>
      <c r="Y64" s="163"/>
      <c r="Z64" s="163"/>
      <c r="AA64" s="48"/>
      <c r="AB64" s="163"/>
      <c r="AC64" s="163"/>
      <c r="AD64" s="48"/>
      <c r="AE64" s="163"/>
      <c r="AF64" s="163"/>
      <c r="AG64" s="48"/>
      <c r="AH64" s="163"/>
      <c r="AI64" s="163"/>
      <c r="AJ64" s="48"/>
      <c r="AK64" s="163"/>
      <c r="AL64" s="163"/>
      <c r="AM64" s="48"/>
      <c r="AN64" s="163"/>
      <c r="AO64" s="163"/>
    </row>
    <row r="65" spans="1:41" hidden="1" x14ac:dyDescent="0.55000000000000004">
      <c r="C65" s="45" t="s">
        <v>229</v>
      </c>
      <c r="D65" s="113">
        <v>165</v>
      </c>
      <c r="E65" s="113">
        <v>10</v>
      </c>
      <c r="F65" s="48"/>
      <c r="G65" s="163"/>
      <c r="H65" s="163"/>
      <c r="I65" s="48"/>
      <c r="J65" s="163"/>
      <c r="K65" s="163"/>
      <c r="L65" s="48"/>
      <c r="M65" s="163"/>
      <c r="N65" s="163"/>
      <c r="O65" s="48"/>
      <c r="P65" s="163"/>
      <c r="Q65" s="163"/>
      <c r="R65" s="48"/>
      <c r="S65" s="163"/>
      <c r="T65" s="163"/>
      <c r="U65" s="48"/>
      <c r="V65" s="163"/>
      <c r="W65" s="163"/>
      <c r="X65" s="48"/>
      <c r="Y65" s="163"/>
      <c r="Z65" s="163"/>
      <c r="AA65" s="48"/>
      <c r="AB65" s="163"/>
      <c r="AC65" s="163"/>
      <c r="AD65" s="48"/>
      <c r="AE65" s="163"/>
      <c r="AF65" s="163"/>
      <c r="AG65" s="48"/>
      <c r="AH65" s="163"/>
      <c r="AI65" s="163"/>
      <c r="AJ65" s="48"/>
      <c r="AK65" s="163"/>
      <c r="AL65" s="163"/>
      <c r="AM65" s="48"/>
      <c r="AN65" s="163"/>
      <c r="AO65" s="163"/>
    </row>
    <row r="66" spans="1:41" hidden="1" x14ac:dyDescent="0.55000000000000004">
      <c r="C66" s="45" t="s">
        <v>230</v>
      </c>
      <c r="D66" s="113">
        <v>165</v>
      </c>
      <c r="E66" s="113">
        <v>20</v>
      </c>
      <c r="F66" s="45" t="s">
        <v>230</v>
      </c>
      <c r="G66" s="113">
        <v>165</v>
      </c>
      <c r="H66" s="113">
        <v>20</v>
      </c>
      <c r="I66" s="45" t="s">
        <v>230</v>
      </c>
      <c r="J66" s="113">
        <v>165</v>
      </c>
      <c r="K66" s="113">
        <v>20</v>
      </c>
      <c r="L66" s="45" t="s">
        <v>230</v>
      </c>
      <c r="M66" s="113">
        <v>165</v>
      </c>
      <c r="N66" s="113">
        <v>20</v>
      </c>
      <c r="O66" s="45" t="s">
        <v>230</v>
      </c>
      <c r="P66" s="113">
        <v>165</v>
      </c>
      <c r="Q66" s="113">
        <v>20</v>
      </c>
      <c r="R66" s="45" t="s">
        <v>230</v>
      </c>
      <c r="S66" s="113">
        <v>165</v>
      </c>
      <c r="T66" s="113">
        <v>20</v>
      </c>
      <c r="U66" s="45" t="s">
        <v>230</v>
      </c>
      <c r="V66" s="113">
        <v>165</v>
      </c>
      <c r="W66" s="113">
        <v>20</v>
      </c>
      <c r="X66" s="45" t="s">
        <v>230</v>
      </c>
      <c r="Y66" s="113">
        <v>165</v>
      </c>
      <c r="Z66" s="113">
        <v>20</v>
      </c>
      <c r="AA66" s="45" t="s">
        <v>230</v>
      </c>
      <c r="AB66" s="113">
        <v>165</v>
      </c>
      <c r="AC66" s="113">
        <v>20</v>
      </c>
      <c r="AD66" s="45" t="s">
        <v>230</v>
      </c>
      <c r="AE66" s="113">
        <v>165</v>
      </c>
      <c r="AF66" s="113">
        <v>20</v>
      </c>
      <c r="AG66" s="45" t="s">
        <v>230</v>
      </c>
      <c r="AH66" s="113">
        <v>165</v>
      </c>
      <c r="AI66" s="113">
        <v>20</v>
      </c>
      <c r="AJ66" s="45" t="s">
        <v>230</v>
      </c>
      <c r="AK66" s="113">
        <v>165</v>
      </c>
      <c r="AL66" s="113">
        <v>20</v>
      </c>
      <c r="AM66" s="45" t="s">
        <v>230</v>
      </c>
      <c r="AN66" s="113">
        <v>165</v>
      </c>
      <c r="AO66" s="113">
        <v>20</v>
      </c>
    </row>
    <row r="67" spans="1:41" hidden="1" x14ac:dyDescent="0.55000000000000004">
      <c r="C67" s="45" t="s">
        <v>231</v>
      </c>
      <c r="D67" s="113">
        <v>165</v>
      </c>
      <c r="E67" s="113">
        <v>20</v>
      </c>
      <c r="F67" s="45" t="s">
        <v>231</v>
      </c>
      <c r="G67" s="113">
        <v>165</v>
      </c>
      <c r="H67" s="113">
        <v>20</v>
      </c>
      <c r="I67" s="45" t="s">
        <v>231</v>
      </c>
      <c r="J67" s="113">
        <v>165</v>
      </c>
      <c r="K67" s="113">
        <v>20</v>
      </c>
      <c r="L67" s="45" t="s">
        <v>231</v>
      </c>
      <c r="M67" s="113">
        <v>165</v>
      </c>
      <c r="N67" s="113">
        <v>20</v>
      </c>
      <c r="O67" s="45" t="s">
        <v>231</v>
      </c>
      <c r="P67" s="113">
        <v>165</v>
      </c>
      <c r="Q67" s="113">
        <v>20</v>
      </c>
      <c r="R67" s="45" t="s">
        <v>231</v>
      </c>
      <c r="S67" s="113">
        <v>165</v>
      </c>
      <c r="T67" s="113">
        <v>20</v>
      </c>
      <c r="U67" s="45" t="s">
        <v>231</v>
      </c>
      <c r="V67" s="113">
        <v>165</v>
      </c>
      <c r="W67" s="113">
        <v>20</v>
      </c>
      <c r="X67" s="45" t="s">
        <v>231</v>
      </c>
      <c r="Y67" s="113">
        <v>165</v>
      </c>
      <c r="Z67" s="113">
        <v>20</v>
      </c>
      <c r="AA67" s="45" t="s">
        <v>231</v>
      </c>
      <c r="AB67" s="113">
        <v>165</v>
      </c>
      <c r="AC67" s="113">
        <v>20</v>
      </c>
      <c r="AD67" s="45" t="s">
        <v>231</v>
      </c>
      <c r="AE67" s="113">
        <v>165</v>
      </c>
      <c r="AF67" s="113">
        <v>20</v>
      </c>
      <c r="AG67" s="45" t="s">
        <v>231</v>
      </c>
      <c r="AH67" s="113">
        <v>165</v>
      </c>
      <c r="AI67" s="113">
        <v>20</v>
      </c>
      <c r="AJ67" s="45" t="s">
        <v>231</v>
      </c>
      <c r="AK67" s="113">
        <v>165</v>
      </c>
      <c r="AL67" s="113">
        <v>20</v>
      </c>
      <c r="AM67" s="45" t="s">
        <v>231</v>
      </c>
      <c r="AN67" s="113">
        <v>165</v>
      </c>
      <c r="AO67" s="113">
        <v>20</v>
      </c>
    </row>
    <row r="68" spans="1:41" hidden="1" x14ac:dyDescent="0.55000000000000004">
      <c r="C68" s="45"/>
      <c r="D68" s="162"/>
      <c r="E68" s="113"/>
      <c r="F68" s="51" t="s">
        <v>232</v>
      </c>
      <c r="G68" s="113">
        <v>200</v>
      </c>
      <c r="H68" s="113">
        <v>0</v>
      </c>
      <c r="I68" s="45" t="s">
        <v>232</v>
      </c>
      <c r="J68" s="113">
        <v>200</v>
      </c>
      <c r="K68" s="113">
        <v>0</v>
      </c>
      <c r="L68" s="45" t="s">
        <v>232</v>
      </c>
      <c r="M68" s="113">
        <v>200</v>
      </c>
      <c r="N68" s="113">
        <v>0</v>
      </c>
      <c r="O68" s="45" t="s">
        <v>232</v>
      </c>
      <c r="P68" s="113">
        <v>200</v>
      </c>
      <c r="Q68" s="113">
        <v>10</v>
      </c>
      <c r="R68" s="45" t="s">
        <v>232</v>
      </c>
      <c r="S68" s="113">
        <v>200</v>
      </c>
      <c r="T68" s="113">
        <v>10</v>
      </c>
      <c r="U68" s="45" t="s">
        <v>232</v>
      </c>
      <c r="V68" s="113">
        <v>200</v>
      </c>
      <c r="W68" s="113">
        <v>10</v>
      </c>
      <c r="X68" s="45" t="s">
        <v>232</v>
      </c>
      <c r="Y68" s="113">
        <v>200</v>
      </c>
      <c r="Z68" s="113">
        <v>10</v>
      </c>
      <c r="AA68" s="45" t="s">
        <v>232</v>
      </c>
      <c r="AB68" s="113">
        <v>200</v>
      </c>
      <c r="AC68" s="113">
        <v>10</v>
      </c>
      <c r="AD68" s="45" t="s">
        <v>232</v>
      </c>
      <c r="AE68" s="113">
        <v>200</v>
      </c>
      <c r="AF68" s="113">
        <v>10</v>
      </c>
      <c r="AG68" s="45" t="s">
        <v>232</v>
      </c>
      <c r="AH68" s="113">
        <v>200</v>
      </c>
      <c r="AI68" s="113">
        <v>10</v>
      </c>
      <c r="AJ68" s="45" t="s">
        <v>232</v>
      </c>
      <c r="AK68" s="113">
        <v>200</v>
      </c>
      <c r="AL68" s="113">
        <v>10</v>
      </c>
      <c r="AM68" s="45" t="s">
        <v>232</v>
      </c>
      <c r="AN68" s="113">
        <v>200</v>
      </c>
      <c r="AO68" s="113">
        <v>10</v>
      </c>
    </row>
    <row r="69" spans="1:41" hidden="1" x14ac:dyDescent="0.55000000000000004">
      <c r="C69" s="45"/>
      <c r="D69" s="162"/>
      <c r="E69" s="113"/>
      <c r="F69" s="45"/>
      <c r="G69" s="113"/>
      <c r="H69" s="113"/>
      <c r="I69" s="45"/>
      <c r="J69" s="113"/>
      <c r="K69" s="113"/>
      <c r="L69" s="45"/>
      <c r="M69" s="113"/>
      <c r="N69" s="113"/>
      <c r="O69" s="45" t="s">
        <v>376</v>
      </c>
      <c r="P69" s="113">
        <v>100</v>
      </c>
      <c r="Q69" s="113">
        <v>0</v>
      </c>
      <c r="R69" s="51" t="s">
        <v>306</v>
      </c>
      <c r="S69" s="113">
        <v>130</v>
      </c>
      <c r="T69" s="113">
        <v>4</v>
      </c>
      <c r="U69" s="45" t="s">
        <v>306</v>
      </c>
      <c r="V69" s="113">
        <v>130</v>
      </c>
      <c r="W69" s="113">
        <v>4</v>
      </c>
      <c r="X69" s="45" t="s">
        <v>306</v>
      </c>
      <c r="Y69" s="113">
        <v>130</v>
      </c>
      <c r="Z69" s="113">
        <v>4</v>
      </c>
      <c r="AA69" s="45" t="s">
        <v>306</v>
      </c>
      <c r="AB69" s="113">
        <v>130</v>
      </c>
      <c r="AC69" s="113">
        <v>4</v>
      </c>
      <c r="AD69" s="45" t="s">
        <v>306</v>
      </c>
      <c r="AE69" s="113">
        <v>130</v>
      </c>
      <c r="AF69" s="113">
        <v>4</v>
      </c>
      <c r="AG69" s="45" t="s">
        <v>306</v>
      </c>
      <c r="AH69" s="113">
        <v>130</v>
      </c>
      <c r="AI69" s="113">
        <v>4</v>
      </c>
      <c r="AJ69" s="45" t="s">
        <v>306</v>
      </c>
      <c r="AK69" s="113">
        <v>130</v>
      </c>
      <c r="AL69" s="113">
        <v>4</v>
      </c>
      <c r="AM69" s="45" t="s">
        <v>306</v>
      </c>
      <c r="AN69" s="113">
        <v>130</v>
      </c>
      <c r="AO69" s="113">
        <v>4</v>
      </c>
    </row>
    <row r="70" spans="1:41" hidden="1" x14ac:dyDescent="0.55000000000000004">
      <c r="C70" s="45"/>
      <c r="D70" s="162"/>
      <c r="E70" s="113"/>
      <c r="F70" s="45"/>
      <c r="G70" s="113"/>
      <c r="H70" s="113"/>
      <c r="I70" s="45"/>
      <c r="J70" s="113"/>
      <c r="K70" s="113"/>
      <c r="L70" s="45"/>
      <c r="M70" s="113"/>
      <c r="N70" s="113"/>
      <c r="O70" s="45" t="s">
        <v>377</v>
      </c>
      <c r="P70" s="113">
        <v>100</v>
      </c>
      <c r="Q70" s="113">
        <v>0</v>
      </c>
      <c r="R70" s="45" t="s">
        <v>376</v>
      </c>
      <c r="S70" s="113">
        <v>100</v>
      </c>
      <c r="T70" s="113">
        <v>0</v>
      </c>
      <c r="U70" s="45" t="s">
        <v>376</v>
      </c>
      <c r="V70" s="113">
        <v>100</v>
      </c>
      <c r="W70" s="113">
        <v>0</v>
      </c>
      <c r="X70" s="45" t="s">
        <v>376</v>
      </c>
      <c r="Y70" s="113">
        <v>100</v>
      </c>
      <c r="Z70" s="113">
        <v>0</v>
      </c>
      <c r="AA70" s="45" t="s">
        <v>376</v>
      </c>
      <c r="AB70" s="113">
        <v>100</v>
      </c>
      <c r="AC70" s="113">
        <v>10</v>
      </c>
      <c r="AD70" s="45" t="s">
        <v>376</v>
      </c>
      <c r="AE70" s="113">
        <v>100</v>
      </c>
      <c r="AF70" s="113">
        <v>10</v>
      </c>
      <c r="AG70" s="45" t="s">
        <v>376</v>
      </c>
      <c r="AH70" s="113">
        <v>100</v>
      </c>
      <c r="AI70" s="113">
        <v>10</v>
      </c>
      <c r="AJ70" s="45" t="s">
        <v>376</v>
      </c>
      <c r="AK70" s="113">
        <v>100</v>
      </c>
      <c r="AL70" s="113">
        <v>10</v>
      </c>
      <c r="AM70" s="45" t="s">
        <v>376</v>
      </c>
      <c r="AN70" s="113">
        <v>100</v>
      </c>
      <c r="AO70" s="113">
        <v>10</v>
      </c>
    </row>
    <row r="71" spans="1:41" hidden="1" x14ac:dyDescent="0.55000000000000004">
      <c r="C71" s="45"/>
      <c r="D71" s="162"/>
      <c r="E71" s="113"/>
      <c r="F71" s="45"/>
      <c r="G71" s="113"/>
      <c r="H71" s="113"/>
      <c r="I71" s="45"/>
      <c r="J71" s="113"/>
      <c r="K71" s="113"/>
      <c r="L71" s="45"/>
      <c r="M71" s="113"/>
      <c r="N71" s="113"/>
      <c r="O71" s="45"/>
      <c r="P71" s="113"/>
      <c r="Q71" s="113"/>
      <c r="R71" s="45" t="s">
        <v>377</v>
      </c>
      <c r="S71" s="113">
        <v>100</v>
      </c>
      <c r="T71" s="113">
        <v>0</v>
      </c>
      <c r="U71" s="45" t="s">
        <v>377</v>
      </c>
      <c r="V71" s="113">
        <v>100</v>
      </c>
      <c r="W71" s="113">
        <v>0</v>
      </c>
      <c r="X71" s="45" t="s">
        <v>377</v>
      </c>
      <c r="Y71" s="113">
        <v>100</v>
      </c>
      <c r="Z71" s="113">
        <v>0</v>
      </c>
      <c r="AA71" s="45" t="s">
        <v>377</v>
      </c>
      <c r="AB71" s="113">
        <v>100</v>
      </c>
      <c r="AC71" s="113">
        <v>10</v>
      </c>
      <c r="AD71" s="45" t="s">
        <v>377</v>
      </c>
      <c r="AE71" s="113">
        <v>100</v>
      </c>
      <c r="AF71" s="113">
        <v>10</v>
      </c>
      <c r="AG71" s="45" t="s">
        <v>377</v>
      </c>
      <c r="AH71" s="113">
        <v>100</v>
      </c>
      <c r="AI71" s="113">
        <v>10</v>
      </c>
      <c r="AJ71" s="45" t="s">
        <v>377</v>
      </c>
      <c r="AK71" s="113">
        <v>100</v>
      </c>
      <c r="AL71" s="113">
        <v>10</v>
      </c>
      <c r="AM71" s="45" t="s">
        <v>377</v>
      </c>
      <c r="AN71" s="113">
        <v>100</v>
      </c>
      <c r="AO71" s="113">
        <v>10</v>
      </c>
    </row>
    <row r="72" spans="1:41" hidden="1" x14ac:dyDescent="0.55000000000000004">
      <c r="C72" s="153">
        <f>COUNTA(C54:C71)</f>
        <v>14</v>
      </c>
      <c r="D72" s="162">
        <f>SUM(D54:D71)</f>
        <v>2415</v>
      </c>
      <c r="E72" s="162">
        <f>SUM(E54:E71)</f>
        <v>268</v>
      </c>
      <c r="F72" s="153">
        <f>COUNTA(F54:F71)</f>
        <v>14</v>
      </c>
      <c r="G72" s="162">
        <f>SUM(G54:G71)</f>
        <v>2450</v>
      </c>
      <c r="H72" s="162">
        <f>SUM(H54:H71)</f>
        <v>258</v>
      </c>
      <c r="I72" s="153">
        <f>COUNTA(I54:I71)</f>
        <v>14</v>
      </c>
      <c r="J72" s="162">
        <f>SUM(J54:J71)</f>
        <v>2450</v>
      </c>
      <c r="K72" s="162">
        <f>SUM(K54:K71)</f>
        <v>258</v>
      </c>
      <c r="L72" s="153">
        <f>COUNTA(L54:L71)</f>
        <v>14</v>
      </c>
      <c r="M72" s="162">
        <f>SUM(M54:M71)</f>
        <v>2450</v>
      </c>
      <c r="N72" s="162">
        <f>SUM(N54:N71)</f>
        <v>258</v>
      </c>
      <c r="O72" s="153">
        <f>COUNTA(O54:O71)</f>
        <v>15</v>
      </c>
      <c r="P72" s="162">
        <f>SUM(P54:P71)</f>
        <v>2485</v>
      </c>
      <c r="Q72" s="162">
        <f>SUM(Q54:Q71)</f>
        <v>258</v>
      </c>
      <c r="R72" s="153">
        <f>COUNTA(R54:R71)</f>
        <v>16</v>
      </c>
      <c r="S72" s="162">
        <f>SUM(S54:S71)</f>
        <v>2615</v>
      </c>
      <c r="T72" s="162">
        <f>SUM(T54:T71)</f>
        <v>262</v>
      </c>
      <c r="U72" s="153">
        <f>COUNTA(U54:U71)</f>
        <v>16</v>
      </c>
      <c r="V72" s="162">
        <f>SUM(V54:V71)</f>
        <v>2615</v>
      </c>
      <c r="W72" s="162">
        <f>SUM(W54:W71)</f>
        <v>262</v>
      </c>
      <c r="X72" s="153">
        <f>COUNTA(X54:X71)</f>
        <v>15</v>
      </c>
      <c r="Y72" s="162">
        <f>SUM(Y54:Y71)</f>
        <v>2450</v>
      </c>
      <c r="Z72" s="162">
        <f>SUM(Z54:Z71)</f>
        <v>212</v>
      </c>
      <c r="AA72" s="153">
        <f>COUNTA(AA54:AA71)</f>
        <v>15</v>
      </c>
      <c r="AB72" s="162">
        <f>SUM(AB54:AB71)</f>
        <v>2450</v>
      </c>
      <c r="AC72" s="162">
        <f>SUM(AC54:AC71)</f>
        <v>232</v>
      </c>
      <c r="AD72" s="153">
        <f>COUNTA(AD54:AD71)</f>
        <v>15</v>
      </c>
      <c r="AE72" s="162">
        <f>SUM(AE54:AE71)</f>
        <v>2450</v>
      </c>
      <c r="AF72" s="162">
        <f>SUM(AF54:AF71)</f>
        <v>232</v>
      </c>
      <c r="AG72" s="153">
        <f>COUNTA(AG54:AG71)</f>
        <v>15</v>
      </c>
      <c r="AH72" s="162">
        <f>SUM(AH54:AH71)</f>
        <v>2450</v>
      </c>
      <c r="AI72" s="162">
        <f>SUM(AI54:AI71)</f>
        <v>232</v>
      </c>
      <c r="AJ72" s="153">
        <f>COUNTA(AJ54:AJ71)</f>
        <v>15</v>
      </c>
      <c r="AK72" s="162">
        <f>SUM(AK54:AK71)</f>
        <v>2450</v>
      </c>
      <c r="AL72" s="162">
        <f>SUM(AL54:AL71)</f>
        <v>232</v>
      </c>
      <c r="AM72" s="153">
        <f>COUNTA(AM54:AM71)</f>
        <v>15</v>
      </c>
      <c r="AN72" s="162">
        <f>SUM(AN54:AN71)</f>
        <v>2450</v>
      </c>
      <c r="AO72" s="162">
        <f>SUM(AO54:AO71)</f>
        <v>232</v>
      </c>
    </row>
    <row r="73" spans="1:41" hidden="1" x14ac:dyDescent="0.55000000000000004">
      <c r="A73" s="164" t="s">
        <v>380</v>
      </c>
      <c r="C73" s="47"/>
      <c r="D73" s="293">
        <f>D72-E72</f>
        <v>2147</v>
      </c>
      <c r="E73" s="294"/>
      <c r="F73" s="47"/>
      <c r="G73" s="293">
        <f>G72-H72</f>
        <v>2192</v>
      </c>
      <c r="H73" s="294"/>
      <c r="I73" s="47"/>
      <c r="J73" s="293">
        <f>J72-K72</f>
        <v>2192</v>
      </c>
      <c r="K73" s="294"/>
      <c r="L73" s="47"/>
      <c r="M73" s="293">
        <f>M72-N72</f>
        <v>2192</v>
      </c>
      <c r="N73" s="294"/>
      <c r="O73" s="47"/>
      <c r="P73" s="293">
        <f>P72-Q72</f>
        <v>2227</v>
      </c>
      <c r="Q73" s="294"/>
      <c r="R73" s="47"/>
      <c r="S73" s="293">
        <f>S72-T72</f>
        <v>2353</v>
      </c>
      <c r="T73" s="294"/>
      <c r="U73" s="47"/>
      <c r="V73" s="293">
        <f>V72-W72</f>
        <v>2353</v>
      </c>
      <c r="W73" s="294"/>
      <c r="X73" s="47"/>
      <c r="Y73" s="293">
        <f>Y72-Z72</f>
        <v>2238</v>
      </c>
      <c r="Z73" s="294"/>
      <c r="AA73" s="47"/>
      <c r="AB73" s="293">
        <f>AB72-AC72</f>
        <v>2218</v>
      </c>
      <c r="AC73" s="294"/>
      <c r="AD73" s="47"/>
      <c r="AE73" s="293">
        <f>AE72-AF72</f>
        <v>2218</v>
      </c>
      <c r="AF73" s="294"/>
      <c r="AG73" s="47"/>
      <c r="AH73" s="293">
        <f>AH72-AI72</f>
        <v>2218</v>
      </c>
      <c r="AI73" s="294"/>
      <c r="AJ73" s="47"/>
      <c r="AK73" s="293">
        <f>AK72-AL72</f>
        <v>2218</v>
      </c>
      <c r="AL73" s="294"/>
      <c r="AM73" s="47"/>
      <c r="AN73" s="293">
        <f>AN72-AO72</f>
        <v>2218</v>
      </c>
      <c r="AO73" s="294"/>
    </row>
    <row r="75" spans="1:41" x14ac:dyDescent="0.55000000000000004">
      <c r="A75" s="283" t="s">
        <v>233</v>
      </c>
      <c r="B75" s="283"/>
      <c r="C75" s="262" t="s">
        <v>4</v>
      </c>
      <c r="D75" s="284"/>
      <c r="E75" s="263"/>
      <c r="F75" s="262" t="s">
        <v>5</v>
      </c>
      <c r="G75" s="284"/>
      <c r="H75" s="263"/>
      <c r="I75" s="262" t="s">
        <v>6</v>
      </c>
      <c r="J75" s="284"/>
      <c r="K75" s="263"/>
      <c r="L75" s="262" t="s">
        <v>7</v>
      </c>
      <c r="M75" s="284"/>
      <c r="N75" s="263"/>
      <c r="O75" s="262" t="s">
        <v>8</v>
      </c>
      <c r="P75" s="284"/>
      <c r="Q75" s="263"/>
      <c r="R75" s="262" t="s">
        <v>10</v>
      </c>
      <c r="S75" s="284"/>
      <c r="T75" s="263"/>
      <c r="U75" s="262" t="s">
        <v>11</v>
      </c>
      <c r="V75" s="284"/>
      <c r="W75" s="263"/>
      <c r="X75" s="262" t="s">
        <v>12</v>
      </c>
      <c r="Y75" s="284"/>
      <c r="Z75" s="263"/>
      <c r="AA75" s="262" t="s">
        <v>13</v>
      </c>
      <c r="AB75" s="284"/>
      <c r="AC75" s="263"/>
      <c r="AD75" s="262" t="s">
        <v>14</v>
      </c>
      <c r="AE75" s="284"/>
      <c r="AF75" s="263"/>
      <c r="AG75" s="262" t="s">
        <v>15</v>
      </c>
      <c r="AH75" s="284"/>
      <c r="AI75" s="263"/>
      <c r="AJ75" s="262" t="s">
        <v>16</v>
      </c>
      <c r="AK75" s="284"/>
      <c r="AL75" s="263"/>
      <c r="AM75" s="262" t="s">
        <v>4</v>
      </c>
      <c r="AN75" s="284"/>
      <c r="AO75" s="263"/>
    </row>
    <row r="76" spans="1:41" ht="18.5" thickBot="1" x14ac:dyDescent="0.6">
      <c r="A76" s="255" t="s">
        <v>153</v>
      </c>
      <c r="B76" s="255"/>
      <c r="C76" s="264">
        <v>5</v>
      </c>
      <c r="D76" s="282"/>
      <c r="E76" s="265"/>
      <c r="F76" s="264">
        <v>5</v>
      </c>
      <c r="G76" s="282"/>
      <c r="H76" s="265"/>
      <c r="I76" s="264">
        <v>5</v>
      </c>
      <c r="J76" s="282"/>
      <c r="K76" s="265"/>
      <c r="L76" s="264">
        <v>5</v>
      </c>
      <c r="M76" s="282"/>
      <c r="N76" s="265"/>
      <c r="O76" s="264">
        <v>5</v>
      </c>
      <c r="P76" s="282"/>
      <c r="Q76" s="265"/>
      <c r="R76" s="264">
        <v>5</v>
      </c>
      <c r="S76" s="282"/>
      <c r="T76" s="265"/>
      <c r="U76" s="264">
        <v>5</v>
      </c>
      <c r="V76" s="282"/>
      <c r="W76" s="265"/>
      <c r="X76" s="264">
        <v>5</v>
      </c>
      <c r="Y76" s="282"/>
      <c r="Z76" s="265"/>
      <c r="AA76" s="264">
        <v>5</v>
      </c>
      <c r="AB76" s="282"/>
      <c r="AC76" s="265"/>
      <c r="AD76" s="264">
        <v>5</v>
      </c>
      <c r="AE76" s="282"/>
      <c r="AF76" s="265"/>
      <c r="AG76" s="264">
        <v>5</v>
      </c>
      <c r="AH76" s="282"/>
      <c r="AI76" s="265"/>
      <c r="AJ76" s="264">
        <v>5</v>
      </c>
      <c r="AK76" s="282"/>
      <c r="AL76" s="265"/>
      <c r="AM76" s="264">
        <v>5</v>
      </c>
      <c r="AN76" s="282"/>
      <c r="AO76" s="265"/>
    </row>
    <row r="77" spans="1:41" ht="18.5" thickBot="1" x14ac:dyDescent="0.6">
      <c r="A77" s="256" t="s">
        <v>31</v>
      </c>
      <c r="B77" s="257"/>
      <c r="C77" s="266">
        <f>C90</f>
        <v>4</v>
      </c>
      <c r="D77" s="275"/>
      <c r="E77" s="267"/>
      <c r="F77" s="266">
        <f>F90</f>
        <v>4</v>
      </c>
      <c r="G77" s="275"/>
      <c r="H77" s="267"/>
      <c r="I77" s="266">
        <f>I90</f>
        <v>4</v>
      </c>
      <c r="J77" s="275"/>
      <c r="K77" s="267"/>
      <c r="L77" s="266">
        <f>L90</f>
        <v>4</v>
      </c>
      <c r="M77" s="275"/>
      <c r="N77" s="267"/>
      <c r="O77" s="266">
        <f>O90</f>
        <v>7</v>
      </c>
      <c r="P77" s="275"/>
      <c r="Q77" s="267"/>
      <c r="R77" s="266">
        <f>R90</f>
        <v>7</v>
      </c>
      <c r="S77" s="275"/>
      <c r="T77" s="267"/>
      <c r="U77" s="266">
        <f>U90</f>
        <v>7</v>
      </c>
      <c r="V77" s="275"/>
      <c r="W77" s="267"/>
      <c r="X77" s="266">
        <f>X90</f>
        <v>7</v>
      </c>
      <c r="Y77" s="275"/>
      <c r="Z77" s="267"/>
      <c r="AA77" s="266">
        <f>AA90</f>
        <v>7</v>
      </c>
      <c r="AB77" s="275"/>
      <c r="AC77" s="267"/>
      <c r="AD77" s="266">
        <f>AD90</f>
        <v>7</v>
      </c>
      <c r="AE77" s="275"/>
      <c r="AF77" s="267"/>
      <c r="AG77" s="266">
        <f>AG90</f>
        <v>7</v>
      </c>
      <c r="AH77" s="275"/>
      <c r="AI77" s="267"/>
      <c r="AJ77" s="266">
        <f>AJ90</f>
        <v>7</v>
      </c>
      <c r="AK77" s="275"/>
      <c r="AL77" s="267"/>
      <c r="AM77" s="266">
        <f>AM90</f>
        <v>7</v>
      </c>
      <c r="AN77" s="275"/>
      <c r="AO77" s="276"/>
    </row>
    <row r="78" spans="1:41" x14ac:dyDescent="0.55000000000000004">
      <c r="A78" s="258" t="s">
        <v>169</v>
      </c>
      <c r="B78" s="258"/>
      <c r="C78" s="277">
        <f>C77-C76</f>
        <v>-1</v>
      </c>
      <c r="D78" s="281"/>
      <c r="E78" s="278"/>
      <c r="F78" s="277">
        <f>F77-F76</f>
        <v>-1</v>
      </c>
      <c r="G78" s="281"/>
      <c r="H78" s="278"/>
      <c r="I78" s="277">
        <f>I77-I76</f>
        <v>-1</v>
      </c>
      <c r="J78" s="281"/>
      <c r="K78" s="278"/>
      <c r="L78" s="277">
        <f>L77-L76</f>
        <v>-1</v>
      </c>
      <c r="M78" s="281"/>
      <c r="N78" s="278"/>
      <c r="O78" s="277">
        <f>O77-O76</f>
        <v>2</v>
      </c>
      <c r="P78" s="281"/>
      <c r="Q78" s="278"/>
      <c r="R78" s="277">
        <f>R77-R76</f>
        <v>2</v>
      </c>
      <c r="S78" s="281"/>
      <c r="T78" s="278"/>
      <c r="U78" s="277">
        <f>U77-U76</f>
        <v>2</v>
      </c>
      <c r="V78" s="281"/>
      <c r="W78" s="278"/>
      <c r="X78" s="277">
        <f>X77-X76</f>
        <v>2</v>
      </c>
      <c r="Y78" s="281"/>
      <c r="Z78" s="278"/>
      <c r="AA78" s="277">
        <f>AA77-AA76</f>
        <v>2</v>
      </c>
      <c r="AB78" s="281"/>
      <c r="AC78" s="278"/>
      <c r="AD78" s="277">
        <f>AD77-AD76</f>
        <v>2</v>
      </c>
      <c r="AE78" s="281"/>
      <c r="AF78" s="278"/>
      <c r="AG78" s="277">
        <f>AG77-AG76</f>
        <v>2</v>
      </c>
      <c r="AH78" s="281"/>
      <c r="AI78" s="278"/>
      <c r="AJ78" s="277">
        <f>AJ77-AJ76</f>
        <v>2</v>
      </c>
      <c r="AK78" s="281"/>
      <c r="AL78" s="278"/>
      <c r="AM78" s="277">
        <f>AM77-AM76</f>
        <v>2</v>
      </c>
      <c r="AN78" s="281"/>
      <c r="AO78" s="278"/>
    </row>
    <row r="79" spans="1:41" x14ac:dyDescent="0.55000000000000004">
      <c r="A79" s="259" t="s">
        <v>17</v>
      </c>
      <c r="B79" s="259"/>
      <c r="C79" s="270">
        <f>E90</f>
        <v>660</v>
      </c>
      <c r="D79" s="280"/>
      <c r="E79" s="271"/>
      <c r="F79" s="270">
        <f>H90</f>
        <v>660</v>
      </c>
      <c r="G79" s="280"/>
      <c r="H79" s="271"/>
      <c r="I79" s="270">
        <f>K90</f>
        <v>660</v>
      </c>
      <c r="J79" s="280"/>
      <c r="K79" s="271"/>
      <c r="L79" s="270">
        <f>N90</f>
        <v>660</v>
      </c>
      <c r="M79" s="280"/>
      <c r="N79" s="271"/>
      <c r="O79" s="270">
        <f>Q90</f>
        <v>1190</v>
      </c>
      <c r="P79" s="280"/>
      <c r="Q79" s="271"/>
      <c r="R79" s="270">
        <f>T90</f>
        <v>1190</v>
      </c>
      <c r="S79" s="280"/>
      <c r="T79" s="271"/>
      <c r="U79" s="270">
        <f>W90</f>
        <v>1190</v>
      </c>
      <c r="V79" s="280"/>
      <c r="W79" s="271"/>
      <c r="X79" s="270">
        <f>Z90</f>
        <v>1190</v>
      </c>
      <c r="Y79" s="280"/>
      <c r="Z79" s="271"/>
      <c r="AA79" s="270">
        <f>AC90</f>
        <v>1190</v>
      </c>
      <c r="AB79" s="280"/>
      <c r="AC79" s="271"/>
      <c r="AD79" s="270">
        <f>AF90</f>
        <v>1190</v>
      </c>
      <c r="AE79" s="280"/>
      <c r="AF79" s="271"/>
      <c r="AG79" s="270">
        <f>AI90</f>
        <v>1190</v>
      </c>
      <c r="AH79" s="280"/>
      <c r="AI79" s="271"/>
      <c r="AJ79" s="270">
        <f>AL90</f>
        <v>1190</v>
      </c>
      <c r="AK79" s="280"/>
      <c r="AL79" s="271"/>
      <c r="AM79" s="270">
        <f>AO90</f>
        <v>1190</v>
      </c>
      <c r="AN79" s="280"/>
      <c r="AO79" s="271"/>
    </row>
    <row r="80" spans="1:41" x14ac:dyDescent="0.55000000000000004">
      <c r="C80" s="54"/>
      <c r="D80" s="54"/>
      <c r="L80" s="53"/>
      <c r="M80" s="53"/>
      <c r="N80" s="52"/>
      <c r="O80" s="54"/>
      <c r="P80" s="54"/>
    </row>
    <row r="81" spans="1:41" x14ac:dyDescent="0.55000000000000004">
      <c r="C81" s="26" t="s">
        <v>209</v>
      </c>
      <c r="D81" s="26"/>
      <c r="F81" s="26"/>
      <c r="G81" s="26"/>
    </row>
    <row r="82" spans="1:41" x14ac:dyDescent="0.55000000000000004">
      <c r="C82" s="253" t="s">
        <v>4</v>
      </c>
      <c r="D82" s="279"/>
      <c r="E82" s="254"/>
      <c r="F82" s="253" t="s">
        <v>5</v>
      </c>
      <c r="G82" s="279"/>
      <c r="H82" s="254"/>
      <c r="I82" s="253" t="s">
        <v>6</v>
      </c>
      <c r="J82" s="279"/>
      <c r="K82" s="254"/>
      <c r="L82" s="253" t="s">
        <v>7</v>
      </c>
      <c r="M82" s="279"/>
      <c r="N82" s="254"/>
      <c r="O82" s="253" t="s">
        <v>8</v>
      </c>
      <c r="P82" s="279"/>
      <c r="Q82" s="254"/>
      <c r="R82" s="253" t="s">
        <v>10</v>
      </c>
      <c r="S82" s="279"/>
      <c r="T82" s="254"/>
      <c r="U82" s="253" t="s">
        <v>11</v>
      </c>
      <c r="V82" s="279"/>
      <c r="W82" s="254"/>
      <c r="X82" s="253" t="s">
        <v>12</v>
      </c>
      <c r="Y82" s="279"/>
      <c r="Z82" s="254"/>
      <c r="AA82" s="253" t="s">
        <v>13</v>
      </c>
      <c r="AB82" s="279"/>
      <c r="AC82" s="254"/>
      <c r="AD82" s="253" t="s">
        <v>14</v>
      </c>
      <c r="AE82" s="279"/>
      <c r="AF82" s="254"/>
      <c r="AG82" s="253" t="s">
        <v>15</v>
      </c>
      <c r="AH82" s="279"/>
      <c r="AI82" s="254"/>
      <c r="AJ82" s="253" t="s">
        <v>16</v>
      </c>
      <c r="AK82" s="279"/>
      <c r="AL82" s="254"/>
      <c r="AM82" s="253" t="s">
        <v>4</v>
      </c>
      <c r="AN82" s="279"/>
      <c r="AO82" s="254"/>
    </row>
    <row r="83" spans="1:41" x14ac:dyDescent="0.55000000000000004">
      <c r="C83" s="45" t="s">
        <v>234</v>
      </c>
      <c r="D83" s="45"/>
      <c r="E83" s="50">
        <v>200</v>
      </c>
      <c r="F83" s="45" t="s">
        <v>234</v>
      </c>
      <c r="G83" s="45"/>
      <c r="H83" s="50">
        <v>200</v>
      </c>
      <c r="I83" s="45" t="s">
        <v>234</v>
      </c>
      <c r="J83" s="45"/>
      <c r="K83" s="50">
        <v>200</v>
      </c>
      <c r="L83" s="45" t="s">
        <v>234</v>
      </c>
      <c r="M83" s="45"/>
      <c r="N83" s="50">
        <v>200</v>
      </c>
      <c r="O83" s="45" t="s">
        <v>234</v>
      </c>
      <c r="P83" s="45"/>
      <c r="Q83" s="50">
        <v>200</v>
      </c>
      <c r="R83" s="45" t="s">
        <v>234</v>
      </c>
      <c r="S83" s="45"/>
      <c r="T83" s="50">
        <v>200</v>
      </c>
      <c r="U83" s="45" t="s">
        <v>234</v>
      </c>
      <c r="V83" s="45"/>
      <c r="W83" s="50">
        <v>200</v>
      </c>
      <c r="X83" s="45" t="s">
        <v>234</v>
      </c>
      <c r="Y83" s="45"/>
      <c r="Z83" s="50">
        <v>200</v>
      </c>
      <c r="AA83" s="45" t="s">
        <v>234</v>
      </c>
      <c r="AB83" s="45"/>
      <c r="AC83" s="50">
        <v>200</v>
      </c>
      <c r="AD83" s="45" t="s">
        <v>234</v>
      </c>
      <c r="AE83" s="45"/>
      <c r="AF83" s="50">
        <v>200</v>
      </c>
      <c r="AG83" s="45" t="s">
        <v>234</v>
      </c>
      <c r="AH83" s="45"/>
      <c r="AI83" s="50">
        <v>200</v>
      </c>
      <c r="AJ83" s="45" t="s">
        <v>234</v>
      </c>
      <c r="AK83" s="45"/>
      <c r="AL83" s="50">
        <v>200</v>
      </c>
      <c r="AM83" s="45" t="s">
        <v>234</v>
      </c>
      <c r="AN83" s="45"/>
      <c r="AO83" s="50">
        <v>200</v>
      </c>
    </row>
    <row r="84" spans="1:41" x14ac:dyDescent="0.55000000000000004">
      <c r="C84" s="45" t="s">
        <v>227</v>
      </c>
      <c r="D84" s="45"/>
      <c r="E84" s="50">
        <v>130</v>
      </c>
      <c r="F84" s="45" t="s">
        <v>227</v>
      </c>
      <c r="G84" s="45"/>
      <c r="H84" s="50">
        <v>130</v>
      </c>
      <c r="I84" s="45" t="s">
        <v>227</v>
      </c>
      <c r="J84" s="45"/>
      <c r="K84" s="50">
        <v>130</v>
      </c>
      <c r="L84" s="45" t="s">
        <v>227</v>
      </c>
      <c r="M84" s="45"/>
      <c r="N84" s="50">
        <v>130</v>
      </c>
      <c r="O84" s="45" t="s">
        <v>227</v>
      </c>
      <c r="P84" s="45"/>
      <c r="Q84" s="50">
        <v>130</v>
      </c>
      <c r="R84" s="45" t="s">
        <v>227</v>
      </c>
      <c r="S84" s="45"/>
      <c r="T84" s="50">
        <v>130</v>
      </c>
      <c r="U84" s="45" t="s">
        <v>227</v>
      </c>
      <c r="V84" s="45"/>
      <c r="W84" s="50">
        <v>130</v>
      </c>
      <c r="X84" s="45" t="s">
        <v>227</v>
      </c>
      <c r="Y84" s="45"/>
      <c r="Z84" s="50">
        <v>130</v>
      </c>
      <c r="AA84" s="45" t="s">
        <v>227</v>
      </c>
      <c r="AB84" s="45"/>
      <c r="AC84" s="50">
        <v>130</v>
      </c>
      <c r="AD84" s="45" t="s">
        <v>227</v>
      </c>
      <c r="AE84" s="45"/>
      <c r="AF84" s="50">
        <v>130</v>
      </c>
      <c r="AG84" s="45" t="s">
        <v>227</v>
      </c>
      <c r="AH84" s="45"/>
      <c r="AI84" s="50">
        <v>130</v>
      </c>
      <c r="AJ84" s="45" t="s">
        <v>227</v>
      </c>
      <c r="AK84" s="45"/>
      <c r="AL84" s="50">
        <v>130</v>
      </c>
      <c r="AM84" s="45" t="s">
        <v>227</v>
      </c>
      <c r="AN84" s="45"/>
      <c r="AO84" s="50">
        <v>130</v>
      </c>
    </row>
    <row r="85" spans="1:41" x14ac:dyDescent="0.55000000000000004">
      <c r="C85" s="45" t="s">
        <v>235</v>
      </c>
      <c r="D85" s="45"/>
      <c r="E85" s="50">
        <v>165</v>
      </c>
      <c r="F85" s="45" t="s">
        <v>235</v>
      </c>
      <c r="G85" s="45"/>
      <c r="H85" s="50">
        <v>165</v>
      </c>
      <c r="I85" s="45" t="s">
        <v>235</v>
      </c>
      <c r="J85" s="45"/>
      <c r="K85" s="50">
        <v>165</v>
      </c>
      <c r="L85" s="45" t="s">
        <v>235</v>
      </c>
      <c r="M85" s="45"/>
      <c r="N85" s="50">
        <v>165</v>
      </c>
      <c r="O85" s="45" t="s">
        <v>235</v>
      </c>
      <c r="P85" s="45"/>
      <c r="Q85" s="50">
        <v>165</v>
      </c>
      <c r="R85" s="45" t="s">
        <v>235</v>
      </c>
      <c r="S85" s="45"/>
      <c r="T85" s="50">
        <v>165</v>
      </c>
      <c r="U85" s="45" t="s">
        <v>235</v>
      </c>
      <c r="V85" s="45"/>
      <c r="W85" s="50">
        <v>165</v>
      </c>
      <c r="X85" s="45" t="s">
        <v>235</v>
      </c>
      <c r="Y85" s="45"/>
      <c r="Z85" s="50">
        <v>165</v>
      </c>
      <c r="AA85" s="45" t="s">
        <v>235</v>
      </c>
      <c r="AB85" s="45"/>
      <c r="AC85" s="50">
        <v>165</v>
      </c>
      <c r="AD85" s="45" t="s">
        <v>235</v>
      </c>
      <c r="AE85" s="45"/>
      <c r="AF85" s="50">
        <v>165</v>
      </c>
      <c r="AG85" s="45" t="s">
        <v>235</v>
      </c>
      <c r="AH85" s="45"/>
      <c r="AI85" s="50">
        <v>165</v>
      </c>
      <c r="AJ85" s="45" t="s">
        <v>235</v>
      </c>
      <c r="AK85" s="45"/>
      <c r="AL85" s="50">
        <v>165</v>
      </c>
      <c r="AM85" s="45" t="s">
        <v>235</v>
      </c>
      <c r="AN85" s="45"/>
      <c r="AO85" s="50">
        <v>165</v>
      </c>
    </row>
    <row r="86" spans="1:41" x14ac:dyDescent="0.55000000000000004">
      <c r="C86" s="45" t="s">
        <v>236</v>
      </c>
      <c r="D86" s="45"/>
      <c r="E86" s="50">
        <v>165</v>
      </c>
      <c r="F86" s="45" t="s">
        <v>236</v>
      </c>
      <c r="G86" s="45"/>
      <c r="H86" s="50">
        <v>165</v>
      </c>
      <c r="I86" s="45" t="s">
        <v>236</v>
      </c>
      <c r="J86" s="45"/>
      <c r="K86" s="50">
        <v>165</v>
      </c>
      <c r="L86" s="45" t="s">
        <v>236</v>
      </c>
      <c r="M86" s="45"/>
      <c r="N86" s="50">
        <v>165</v>
      </c>
      <c r="O86" s="45" t="s">
        <v>236</v>
      </c>
      <c r="P86" s="45"/>
      <c r="Q86" s="50">
        <v>130</v>
      </c>
      <c r="R86" s="45" t="s">
        <v>236</v>
      </c>
      <c r="S86" s="45"/>
      <c r="T86" s="50">
        <v>130</v>
      </c>
      <c r="U86" s="45" t="s">
        <v>236</v>
      </c>
      <c r="V86" s="45"/>
      <c r="W86" s="50">
        <v>130</v>
      </c>
      <c r="X86" s="45" t="s">
        <v>236</v>
      </c>
      <c r="Y86" s="45"/>
      <c r="Z86" s="50">
        <v>130</v>
      </c>
      <c r="AA86" s="45" t="s">
        <v>236</v>
      </c>
      <c r="AB86" s="45"/>
      <c r="AC86" s="50">
        <v>130</v>
      </c>
      <c r="AD86" s="45" t="s">
        <v>236</v>
      </c>
      <c r="AE86" s="45"/>
      <c r="AF86" s="50">
        <v>130</v>
      </c>
      <c r="AG86" s="45" t="s">
        <v>236</v>
      </c>
      <c r="AH86" s="45"/>
      <c r="AI86" s="50">
        <v>130</v>
      </c>
      <c r="AJ86" s="45" t="s">
        <v>236</v>
      </c>
      <c r="AK86" s="45"/>
      <c r="AL86" s="50">
        <v>130</v>
      </c>
      <c r="AM86" s="45" t="s">
        <v>236</v>
      </c>
      <c r="AN86" s="45"/>
      <c r="AO86" s="50">
        <v>130</v>
      </c>
    </row>
    <row r="87" spans="1:41" x14ac:dyDescent="0.55000000000000004">
      <c r="C87" s="45"/>
      <c r="D87" s="45"/>
      <c r="E87" s="50"/>
      <c r="F87" s="45"/>
      <c r="G87" s="45"/>
      <c r="H87" s="50"/>
      <c r="I87" s="45"/>
      <c r="J87" s="45"/>
      <c r="K87" s="50"/>
      <c r="L87" s="45"/>
      <c r="M87" s="45"/>
      <c r="N87" s="50"/>
      <c r="O87" s="45" t="s">
        <v>405</v>
      </c>
      <c r="P87" s="45"/>
      <c r="Q87" s="50">
        <v>165</v>
      </c>
      <c r="R87" s="45" t="s">
        <v>405</v>
      </c>
      <c r="S87" s="45"/>
      <c r="T87" s="50">
        <v>165</v>
      </c>
      <c r="U87" s="45" t="s">
        <v>405</v>
      </c>
      <c r="V87" s="45"/>
      <c r="W87" s="50">
        <v>165</v>
      </c>
      <c r="X87" s="45" t="s">
        <v>405</v>
      </c>
      <c r="Y87" s="45"/>
      <c r="Z87" s="50">
        <v>165</v>
      </c>
      <c r="AA87" s="45" t="s">
        <v>405</v>
      </c>
      <c r="AB87" s="45"/>
      <c r="AC87" s="50">
        <v>165</v>
      </c>
      <c r="AD87" s="45" t="s">
        <v>405</v>
      </c>
      <c r="AE87" s="45"/>
      <c r="AF87" s="50">
        <v>165</v>
      </c>
      <c r="AG87" s="45" t="s">
        <v>405</v>
      </c>
      <c r="AH87" s="45"/>
      <c r="AI87" s="50">
        <v>165</v>
      </c>
      <c r="AJ87" s="45" t="s">
        <v>405</v>
      </c>
      <c r="AK87" s="45"/>
      <c r="AL87" s="50">
        <v>165</v>
      </c>
      <c r="AM87" s="45" t="s">
        <v>405</v>
      </c>
      <c r="AN87" s="45"/>
      <c r="AO87" s="50">
        <v>165</v>
      </c>
    </row>
    <row r="88" spans="1:41" x14ac:dyDescent="0.55000000000000004">
      <c r="C88" s="45"/>
      <c r="D88" s="45"/>
      <c r="E88" s="50"/>
      <c r="F88" s="45"/>
      <c r="G88" s="45"/>
      <c r="H88" s="50"/>
      <c r="I88" s="45"/>
      <c r="J88" s="45"/>
      <c r="K88" s="50"/>
      <c r="L88" s="45"/>
      <c r="M88" s="45"/>
      <c r="N88" s="50"/>
      <c r="O88" s="45" t="s">
        <v>390</v>
      </c>
      <c r="P88" s="45"/>
      <c r="Q88" s="50">
        <v>200</v>
      </c>
      <c r="R88" s="45" t="s">
        <v>390</v>
      </c>
      <c r="S88" s="45"/>
      <c r="T88" s="50">
        <v>200</v>
      </c>
      <c r="U88" s="45" t="s">
        <v>390</v>
      </c>
      <c r="V88" s="45"/>
      <c r="W88" s="50">
        <v>200</v>
      </c>
      <c r="X88" s="45" t="s">
        <v>390</v>
      </c>
      <c r="Y88" s="45"/>
      <c r="Z88" s="50">
        <v>200</v>
      </c>
      <c r="AA88" s="45" t="s">
        <v>390</v>
      </c>
      <c r="AB88" s="45"/>
      <c r="AC88" s="50">
        <v>200</v>
      </c>
      <c r="AD88" s="45" t="s">
        <v>390</v>
      </c>
      <c r="AE88" s="45"/>
      <c r="AF88" s="50">
        <v>200</v>
      </c>
      <c r="AG88" s="45" t="s">
        <v>390</v>
      </c>
      <c r="AH88" s="45"/>
      <c r="AI88" s="50">
        <v>200</v>
      </c>
      <c r="AJ88" s="45" t="s">
        <v>390</v>
      </c>
      <c r="AK88" s="45"/>
      <c r="AL88" s="50">
        <v>200</v>
      </c>
      <c r="AM88" s="45" t="s">
        <v>390</v>
      </c>
      <c r="AN88" s="45"/>
      <c r="AO88" s="50">
        <v>200</v>
      </c>
    </row>
    <row r="89" spans="1:41" x14ac:dyDescent="0.55000000000000004">
      <c r="C89" s="45"/>
      <c r="D89" s="45"/>
      <c r="E89" s="50"/>
      <c r="F89" s="45"/>
      <c r="G89" s="45"/>
      <c r="H89" s="50"/>
      <c r="I89" s="45"/>
      <c r="J89" s="45"/>
      <c r="K89" s="50"/>
      <c r="L89" s="45"/>
      <c r="M89" s="45"/>
      <c r="N89" s="50"/>
      <c r="O89" s="45" t="s">
        <v>395</v>
      </c>
      <c r="P89" s="45"/>
      <c r="Q89" s="50">
        <v>200</v>
      </c>
      <c r="R89" s="45" t="s">
        <v>395</v>
      </c>
      <c r="S89" s="45"/>
      <c r="T89" s="50">
        <v>200</v>
      </c>
      <c r="U89" s="45" t="s">
        <v>395</v>
      </c>
      <c r="V89" s="45"/>
      <c r="W89" s="50">
        <v>200</v>
      </c>
      <c r="X89" s="45" t="s">
        <v>395</v>
      </c>
      <c r="Y89" s="45"/>
      <c r="Z89" s="50">
        <v>200</v>
      </c>
      <c r="AA89" s="45" t="s">
        <v>395</v>
      </c>
      <c r="AB89" s="45"/>
      <c r="AC89" s="50">
        <v>200</v>
      </c>
      <c r="AD89" s="45" t="s">
        <v>395</v>
      </c>
      <c r="AE89" s="45"/>
      <c r="AF89" s="50">
        <v>200</v>
      </c>
      <c r="AG89" s="45" t="s">
        <v>395</v>
      </c>
      <c r="AH89" s="45"/>
      <c r="AI89" s="50">
        <v>200</v>
      </c>
      <c r="AJ89" s="45" t="s">
        <v>395</v>
      </c>
      <c r="AK89" s="45"/>
      <c r="AL89" s="50">
        <v>200</v>
      </c>
      <c r="AM89" s="45" t="s">
        <v>395</v>
      </c>
      <c r="AN89" s="45"/>
      <c r="AO89" s="50">
        <v>200</v>
      </c>
    </row>
    <row r="90" spans="1:41" x14ac:dyDescent="0.55000000000000004">
      <c r="C90" s="45">
        <f>COUNTA(C83:C87)</f>
        <v>4</v>
      </c>
      <c r="D90" s="45"/>
      <c r="E90" s="45">
        <f>SUM(E83:E87)</f>
        <v>660</v>
      </c>
      <c r="F90" s="45">
        <f>COUNTA(F83:F87)</f>
        <v>4</v>
      </c>
      <c r="G90" s="45"/>
      <c r="H90" s="45">
        <f>SUM(H83:H87)</f>
        <v>660</v>
      </c>
      <c r="I90" s="45">
        <f>COUNTA(I83:I87)</f>
        <v>4</v>
      </c>
      <c r="J90" s="45"/>
      <c r="K90" s="45">
        <f>SUM(K83:K87)</f>
        <v>660</v>
      </c>
      <c r="L90" s="45">
        <f>COUNTA(L83:L87)</f>
        <v>4</v>
      </c>
      <c r="M90" s="45"/>
      <c r="N90" s="45">
        <f>SUM(N83:N87)</f>
        <v>660</v>
      </c>
      <c r="O90" s="45">
        <f>COUNTA(O83:O89)</f>
        <v>7</v>
      </c>
      <c r="P90" s="45"/>
      <c r="Q90" s="45">
        <f>SUM(Q83:Q89)</f>
        <v>1190</v>
      </c>
      <c r="R90" s="45">
        <f>COUNTA(R83:R89)</f>
        <v>7</v>
      </c>
      <c r="S90" s="45"/>
      <c r="T90" s="45">
        <f>SUM(T83:T89)</f>
        <v>1190</v>
      </c>
      <c r="U90" s="45">
        <f>COUNTA(U83:U89)</f>
        <v>7</v>
      </c>
      <c r="V90" s="45"/>
      <c r="W90" s="45">
        <f>SUM(W83:W89)</f>
        <v>1190</v>
      </c>
      <c r="X90" s="45">
        <f>COUNTA(X83:X89)</f>
        <v>7</v>
      </c>
      <c r="Y90" s="45"/>
      <c r="Z90" s="45">
        <f>SUM(Z83:Z89)</f>
        <v>1190</v>
      </c>
      <c r="AA90" s="45">
        <f>COUNTA(AA83:AA89)</f>
        <v>7</v>
      </c>
      <c r="AB90" s="45"/>
      <c r="AC90" s="45">
        <f>SUM(AC83:AC89)</f>
        <v>1190</v>
      </c>
      <c r="AD90" s="45">
        <f>COUNTA(AD83:AD89)</f>
        <v>7</v>
      </c>
      <c r="AE90" s="45"/>
      <c r="AF90" s="45">
        <f>SUM(AF83:AF89)</f>
        <v>1190</v>
      </c>
      <c r="AG90" s="45">
        <f>COUNTA(AG83:AG89)</f>
        <v>7</v>
      </c>
      <c r="AH90" s="45"/>
      <c r="AI90" s="45">
        <f>SUM(AI83:AI89)</f>
        <v>1190</v>
      </c>
      <c r="AJ90" s="45">
        <f>COUNTA(AJ83:AJ89)</f>
        <v>7</v>
      </c>
      <c r="AK90" s="45"/>
      <c r="AL90" s="45">
        <f>SUM(AL83:AL89)</f>
        <v>1190</v>
      </c>
      <c r="AM90" s="45">
        <f>COUNTA(AM83:AM89)</f>
        <v>7</v>
      </c>
      <c r="AN90" s="45"/>
      <c r="AO90" s="45">
        <f>SUM(AO83:AO89)</f>
        <v>1190</v>
      </c>
    </row>
    <row r="92" spans="1:41" x14ac:dyDescent="0.55000000000000004">
      <c r="A92" s="283" t="s">
        <v>28</v>
      </c>
      <c r="B92" s="283"/>
      <c r="C92" s="262" t="s">
        <v>4</v>
      </c>
      <c r="D92" s="284"/>
      <c r="E92" s="263"/>
      <c r="F92" s="262" t="s">
        <v>5</v>
      </c>
      <c r="G92" s="284"/>
      <c r="H92" s="263"/>
      <c r="I92" s="262" t="s">
        <v>6</v>
      </c>
      <c r="J92" s="284"/>
      <c r="K92" s="263"/>
      <c r="L92" s="262" t="s">
        <v>7</v>
      </c>
      <c r="M92" s="284"/>
      <c r="N92" s="263"/>
      <c r="O92" s="262" t="s">
        <v>8</v>
      </c>
      <c r="P92" s="284"/>
      <c r="Q92" s="263"/>
      <c r="R92" s="262" t="s">
        <v>10</v>
      </c>
      <c r="S92" s="284"/>
      <c r="T92" s="263"/>
      <c r="U92" s="262" t="s">
        <v>11</v>
      </c>
      <c r="V92" s="284"/>
      <c r="W92" s="263"/>
      <c r="X92" s="262" t="s">
        <v>12</v>
      </c>
      <c r="Y92" s="284"/>
      <c r="Z92" s="263"/>
      <c r="AA92" s="262" t="s">
        <v>13</v>
      </c>
      <c r="AB92" s="284"/>
      <c r="AC92" s="263"/>
      <c r="AD92" s="262" t="s">
        <v>14</v>
      </c>
      <c r="AE92" s="284"/>
      <c r="AF92" s="263"/>
      <c r="AG92" s="262" t="s">
        <v>15</v>
      </c>
      <c r="AH92" s="284"/>
      <c r="AI92" s="263"/>
      <c r="AJ92" s="262" t="s">
        <v>16</v>
      </c>
      <c r="AK92" s="284"/>
      <c r="AL92" s="263"/>
      <c r="AM92" s="262" t="s">
        <v>4</v>
      </c>
      <c r="AN92" s="284"/>
      <c r="AO92" s="263"/>
    </row>
    <row r="93" spans="1:41" ht="18.5" thickBot="1" x14ac:dyDescent="0.6">
      <c r="A93" s="255" t="s">
        <v>153</v>
      </c>
      <c r="B93" s="255"/>
      <c r="C93" s="264">
        <v>7</v>
      </c>
      <c r="D93" s="282"/>
      <c r="E93" s="265"/>
      <c r="F93" s="264">
        <v>7</v>
      </c>
      <c r="G93" s="282"/>
      <c r="H93" s="265"/>
      <c r="I93" s="264">
        <v>7</v>
      </c>
      <c r="J93" s="282"/>
      <c r="K93" s="265"/>
      <c r="L93" s="264">
        <v>7</v>
      </c>
      <c r="M93" s="282"/>
      <c r="N93" s="265"/>
      <c r="O93" s="264">
        <v>9</v>
      </c>
      <c r="P93" s="282"/>
      <c r="Q93" s="265"/>
      <c r="R93" s="264">
        <v>9</v>
      </c>
      <c r="S93" s="282"/>
      <c r="T93" s="265"/>
      <c r="U93" s="264">
        <v>9</v>
      </c>
      <c r="V93" s="282"/>
      <c r="W93" s="265"/>
      <c r="X93" s="264">
        <v>9</v>
      </c>
      <c r="Y93" s="282"/>
      <c r="Z93" s="265"/>
      <c r="AA93" s="264">
        <v>9</v>
      </c>
      <c r="AB93" s="282"/>
      <c r="AC93" s="265"/>
      <c r="AD93" s="264">
        <v>9</v>
      </c>
      <c r="AE93" s="282"/>
      <c r="AF93" s="265"/>
      <c r="AG93" s="264">
        <v>9</v>
      </c>
      <c r="AH93" s="282"/>
      <c r="AI93" s="265"/>
      <c r="AJ93" s="264">
        <v>9</v>
      </c>
      <c r="AK93" s="282"/>
      <c r="AL93" s="265"/>
      <c r="AM93" s="264">
        <v>9</v>
      </c>
      <c r="AN93" s="282"/>
      <c r="AO93" s="265"/>
    </row>
    <row r="94" spans="1:41" ht="18.5" thickBot="1" x14ac:dyDescent="0.6">
      <c r="A94" s="256" t="s">
        <v>31</v>
      </c>
      <c r="B94" s="257"/>
      <c r="C94" s="266">
        <f>C110</f>
        <v>7</v>
      </c>
      <c r="D94" s="275"/>
      <c r="E94" s="267"/>
      <c r="F94" s="266">
        <f>F110</f>
        <v>7</v>
      </c>
      <c r="G94" s="275"/>
      <c r="H94" s="267"/>
      <c r="I94" s="266">
        <f>I110</f>
        <v>7</v>
      </c>
      <c r="J94" s="275"/>
      <c r="K94" s="267"/>
      <c r="L94" s="266">
        <f>L110</f>
        <v>7</v>
      </c>
      <c r="M94" s="275"/>
      <c r="N94" s="267"/>
      <c r="O94" s="266">
        <f>O110</f>
        <v>9</v>
      </c>
      <c r="P94" s="275"/>
      <c r="Q94" s="267"/>
      <c r="R94" s="266">
        <f>R110</f>
        <v>9</v>
      </c>
      <c r="S94" s="275"/>
      <c r="T94" s="267"/>
      <c r="U94" s="266">
        <f>U110</f>
        <v>9</v>
      </c>
      <c r="V94" s="275"/>
      <c r="W94" s="267"/>
      <c r="X94" s="266">
        <f>X110</f>
        <v>9</v>
      </c>
      <c r="Y94" s="275"/>
      <c r="Z94" s="267"/>
      <c r="AA94" s="266">
        <f>AA110</f>
        <v>9</v>
      </c>
      <c r="AB94" s="275"/>
      <c r="AC94" s="267"/>
      <c r="AD94" s="266">
        <f>AD110</f>
        <v>9</v>
      </c>
      <c r="AE94" s="275"/>
      <c r="AF94" s="267"/>
      <c r="AG94" s="266">
        <f>AG110</f>
        <v>9</v>
      </c>
      <c r="AH94" s="275"/>
      <c r="AI94" s="267"/>
      <c r="AJ94" s="266">
        <f>AJ110</f>
        <v>9</v>
      </c>
      <c r="AK94" s="275"/>
      <c r="AL94" s="267"/>
      <c r="AM94" s="266">
        <f>AM110</f>
        <v>9</v>
      </c>
      <c r="AN94" s="275"/>
      <c r="AO94" s="276"/>
    </row>
    <row r="95" spans="1:41" x14ac:dyDescent="0.55000000000000004">
      <c r="A95" s="258" t="s">
        <v>169</v>
      </c>
      <c r="B95" s="258"/>
      <c r="C95" s="277">
        <f>C94-C93</f>
        <v>0</v>
      </c>
      <c r="D95" s="281"/>
      <c r="E95" s="278"/>
      <c r="F95" s="277">
        <f>F94-F93</f>
        <v>0</v>
      </c>
      <c r="G95" s="281"/>
      <c r="H95" s="278"/>
      <c r="I95" s="277">
        <f>I94-I93</f>
        <v>0</v>
      </c>
      <c r="J95" s="281"/>
      <c r="K95" s="278"/>
      <c r="L95" s="277">
        <f>L94-L93</f>
        <v>0</v>
      </c>
      <c r="M95" s="281"/>
      <c r="N95" s="278"/>
      <c r="O95" s="277">
        <f>O94-O93</f>
        <v>0</v>
      </c>
      <c r="P95" s="281"/>
      <c r="Q95" s="278"/>
      <c r="R95" s="277">
        <f>R94-R93</f>
        <v>0</v>
      </c>
      <c r="S95" s="281"/>
      <c r="T95" s="278"/>
      <c r="U95" s="277">
        <f>U94-U93</f>
        <v>0</v>
      </c>
      <c r="V95" s="281"/>
      <c r="W95" s="278"/>
      <c r="X95" s="277">
        <f>X94-X93</f>
        <v>0</v>
      </c>
      <c r="Y95" s="281"/>
      <c r="Z95" s="278"/>
      <c r="AA95" s="277">
        <f>AA94-AA93</f>
        <v>0</v>
      </c>
      <c r="AB95" s="281"/>
      <c r="AC95" s="278"/>
      <c r="AD95" s="277">
        <f>AD94-AD93</f>
        <v>0</v>
      </c>
      <c r="AE95" s="281"/>
      <c r="AF95" s="278"/>
      <c r="AG95" s="277">
        <f>AG94-AG93</f>
        <v>0</v>
      </c>
      <c r="AH95" s="281"/>
      <c r="AI95" s="278"/>
      <c r="AJ95" s="277">
        <f>AJ94-AJ93</f>
        <v>0</v>
      </c>
      <c r="AK95" s="281"/>
      <c r="AL95" s="278"/>
      <c r="AM95" s="277">
        <f>AM94-AM93</f>
        <v>0</v>
      </c>
      <c r="AN95" s="281"/>
      <c r="AO95" s="278"/>
    </row>
    <row r="96" spans="1:41" x14ac:dyDescent="0.55000000000000004">
      <c r="A96" s="259" t="s">
        <v>17</v>
      </c>
      <c r="B96" s="259"/>
      <c r="C96" s="270">
        <f>E110</f>
        <v>1195</v>
      </c>
      <c r="D96" s="280"/>
      <c r="E96" s="271"/>
      <c r="F96" s="270">
        <f>H110</f>
        <v>1195</v>
      </c>
      <c r="G96" s="280"/>
      <c r="H96" s="271"/>
      <c r="I96" s="270">
        <f>K110</f>
        <v>1195</v>
      </c>
      <c r="J96" s="280"/>
      <c r="K96" s="271"/>
      <c r="L96" s="270">
        <f>N110</f>
        <v>1195</v>
      </c>
      <c r="M96" s="280"/>
      <c r="N96" s="271"/>
      <c r="O96" s="270">
        <f>Q110</f>
        <v>1395</v>
      </c>
      <c r="P96" s="280"/>
      <c r="Q96" s="271"/>
      <c r="R96" s="270">
        <f>T110</f>
        <v>1395</v>
      </c>
      <c r="S96" s="280"/>
      <c r="T96" s="271"/>
      <c r="U96" s="270">
        <f>W110</f>
        <v>1395</v>
      </c>
      <c r="V96" s="280"/>
      <c r="W96" s="271"/>
      <c r="X96" s="270">
        <f>Z110</f>
        <v>1395</v>
      </c>
      <c r="Y96" s="280"/>
      <c r="Z96" s="271"/>
      <c r="AA96" s="270">
        <f>AC110</f>
        <v>1395</v>
      </c>
      <c r="AB96" s="280"/>
      <c r="AC96" s="271"/>
      <c r="AD96" s="270">
        <f>AF110</f>
        <v>1395</v>
      </c>
      <c r="AE96" s="280"/>
      <c r="AF96" s="271"/>
      <c r="AG96" s="270">
        <f>AI110</f>
        <v>1395</v>
      </c>
      <c r="AH96" s="280"/>
      <c r="AI96" s="271"/>
      <c r="AJ96" s="270">
        <f>AL110</f>
        <v>1395</v>
      </c>
      <c r="AK96" s="280"/>
      <c r="AL96" s="271"/>
      <c r="AM96" s="270">
        <f>AO110</f>
        <v>1395</v>
      </c>
      <c r="AN96" s="280"/>
      <c r="AO96" s="271"/>
    </row>
    <row r="97" spans="1:41" x14ac:dyDescent="0.55000000000000004">
      <c r="C97" s="54"/>
      <c r="D97" s="54"/>
      <c r="L97" s="53"/>
      <c r="M97" s="53"/>
      <c r="N97" s="52"/>
      <c r="O97" s="54"/>
      <c r="P97" s="54"/>
    </row>
    <row r="98" spans="1:41" x14ac:dyDescent="0.55000000000000004">
      <c r="C98" s="26" t="s">
        <v>209</v>
      </c>
      <c r="D98" s="26"/>
      <c r="F98" s="26"/>
      <c r="G98" s="26"/>
    </row>
    <row r="99" spans="1:41" x14ac:dyDescent="0.55000000000000004">
      <c r="C99" s="253" t="s">
        <v>4</v>
      </c>
      <c r="D99" s="279"/>
      <c r="E99" s="254"/>
      <c r="F99" s="253" t="s">
        <v>5</v>
      </c>
      <c r="G99" s="279"/>
      <c r="H99" s="254"/>
      <c r="I99" s="253" t="s">
        <v>6</v>
      </c>
      <c r="J99" s="279"/>
      <c r="K99" s="254"/>
      <c r="L99" s="253" t="s">
        <v>7</v>
      </c>
      <c r="M99" s="279"/>
      <c r="N99" s="254"/>
      <c r="O99" s="253" t="s">
        <v>8</v>
      </c>
      <c r="P99" s="279"/>
      <c r="Q99" s="254"/>
      <c r="R99" s="253" t="s">
        <v>10</v>
      </c>
      <c r="S99" s="279"/>
      <c r="T99" s="254"/>
      <c r="U99" s="253" t="s">
        <v>11</v>
      </c>
      <c r="V99" s="279"/>
      <c r="W99" s="254"/>
      <c r="X99" s="253" t="s">
        <v>12</v>
      </c>
      <c r="Y99" s="279"/>
      <c r="Z99" s="254"/>
      <c r="AA99" s="253" t="s">
        <v>13</v>
      </c>
      <c r="AB99" s="279"/>
      <c r="AC99" s="254"/>
      <c r="AD99" s="253" t="s">
        <v>14</v>
      </c>
      <c r="AE99" s="279"/>
      <c r="AF99" s="254"/>
      <c r="AG99" s="253" t="s">
        <v>15</v>
      </c>
      <c r="AH99" s="279"/>
      <c r="AI99" s="254"/>
      <c r="AJ99" s="253" t="s">
        <v>16</v>
      </c>
      <c r="AK99" s="279"/>
      <c r="AL99" s="254"/>
      <c r="AM99" s="253" t="s">
        <v>4</v>
      </c>
      <c r="AN99" s="279"/>
      <c r="AO99" s="254"/>
    </row>
    <row r="100" spans="1:41" x14ac:dyDescent="0.55000000000000004">
      <c r="C100" s="45" t="s">
        <v>237</v>
      </c>
      <c r="D100" s="45"/>
      <c r="E100" s="50">
        <v>200</v>
      </c>
      <c r="F100" s="45" t="s">
        <v>237</v>
      </c>
      <c r="G100" s="45"/>
      <c r="H100" s="50">
        <v>200</v>
      </c>
      <c r="I100" s="45" t="s">
        <v>237</v>
      </c>
      <c r="J100" s="45"/>
      <c r="K100" s="50">
        <v>200</v>
      </c>
      <c r="L100" s="45" t="s">
        <v>237</v>
      </c>
      <c r="M100" s="45"/>
      <c r="N100" s="50">
        <v>200</v>
      </c>
      <c r="O100" s="45" t="s">
        <v>237</v>
      </c>
      <c r="P100" s="45"/>
      <c r="Q100" s="50">
        <v>200</v>
      </c>
      <c r="R100" s="45" t="s">
        <v>237</v>
      </c>
      <c r="S100" s="45"/>
      <c r="T100" s="50">
        <v>200</v>
      </c>
      <c r="U100" s="45" t="s">
        <v>237</v>
      </c>
      <c r="V100" s="45"/>
      <c r="W100" s="50">
        <v>200</v>
      </c>
      <c r="X100" s="45" t="s">
        <v>237</v>
      </c>
      <c r="Y100" s="45"/>
      <c r="Z100" s="50">
        <v>200</v>
      </c>
      <c r="AA100" s="45" t="s">
        <v>237</v>
      </c>
      <c r="AB100" s="45"/>
      <c r="AC100" s="50">
        <v>200</v>
      </c>
      <c r="AD100" s="45" t="s">
        <v>237</v>
      </c>
      <c r="AE100" s="45"/>
      <c r="AF100" s="50">
        <v>200</v>
      </c>
      <c r="AG100" s="45" t="s">
        <v>237</v>
      </c>
      <c r="AH100" s="45"/>
      <c r="AI100" s="50">
        <v>200</v>
      </c>
      <c r="AJ100" s="45" t="s">
        <v>237</v>
      </c>
      <c r="AK100" s="45"/>
      <c r="AL100" s="50">
        <v>200</v>
      </c>
      <c r="AM100" s="45" t="s">
        <v>237</v>
      </c>
      <c r="AN100" s="45"/>
      <c r="AO100" s="50">
        <v>200</v>
      </c>
    </row>
    <row r="101" spans="1:41" x14ac:dyDescent="0.55000000000000004">
      <c r="C101" s="45" t="s">
        <v>238</v>
      </c>
      <c r="D101" s="45"/>
      <c r="E101" s="50">
        <v>200</v>
      </c>
      <c r="F101" s="45" t="s">
        <v>238</v>
      </c>
      <c r="G101" s="45"/>
      <c r="H101" s="50">
        <v>200</v>
      </c>
      <c r="I101" s="45" t="s">
        <v>238</v>
      </c>
      <c r="J101" s="45"/>
      <c r="K101" s="50">
        <v>200</v>
      </c>
      <c r="L101" s="45" t="s">
        <v>238</v>
      </c>
      <c r="M101" s="45"/>
      <c r="N101" s="50">
        <v>200</v>
      </c>
      <c r="O101" s="45" t="s">
        <v>238</v>
      </c>
      <c r="P101" s="45"/>
      <c r="Q101" s="50">
        <v>200</v>
      </c>
      <c r="R101" s="45" t="s">
        <v>238</v>
      </c>
      <c r="S101" s="45"/>
      <c r="T101" s="50">
        <v>200</v>
      </c>
      <c r="U101" s="45" t="s">
        <v>238</v>
      </c>
      <c r="V101" s="45"/>
      <c r="W101" s="50">
        <v>200</v>
      </c>
      <c r="X101" s="45" t="s">
        <v>238</v>
      </c>
      <c r="Y101" s="45"/>
      <c r="Z101" s="50">
        <v>200</v>
      </c>
      <c r="AA101" s="45" t="s">
        <v>238</v>
      </c>
      <c r="AB101" s="45"/>
      <c r="AC101" s="50">
        <v>200</v>
      </c>
      <c r="AD101" s="45" t="s">
        <v>238</v>
      </c>
      <c r="AE101" s="45"/>
      <c r="AF101" s="50">
        <v>200</v>
      </c>
      <c r="AG101" s="45" t="s">
        <v>238</v>
      </c>
      <c r="AH101" s="45"/>
      <c r="AI101" s="50">
        <v>200</v>
      </c>
      <c r="AJ101" s="45" t="s">
        <v>238</v>
      </c>
      <c r="AK101" s="45"/>
      <c r="AL101" s="50">
        <v>200</v>
      </c>
      <c r="AM101" s="45" t="s">
        <v>238</v>
      </c>
      <c r="AN101" s="45"/>
      <c r="AO101" s="50">
        <v>200</v>
      </c>
    </row>
    <row r="102" spans="1:41" x14ac:dyDescent="0.55000000000000004">
      <c r="C102" s="45" t="s">
        <v>240</v>
      </c>
      <c r="D102" s="45"/>
      <c r="E102" s="50">
        <v>200</v>
      </c>
      <c r="F102" s="45" t="s">
        <v>240</v>
      </c>
      <c r="G102" s="45"/>
      <c r="H102" s="50">
        <v>200</v>
      </c>
      <c r="I102" s="45" t="s">
        <v>240</v>
      </c>
      <c r="J102" s="45"/>
      <c r="K102" s="50">
        <v>200</v>
      </c>
      <c r="L102" s="45" t="s">
        <v>240</v>
      </c>
      <c r="M102" s="45"/>
      <c r="N102" s="50">
        <v>200</v>
      </c>
      <c r="O102" s="45" t="s">
        <v>240</v>
      </c>
      <c r="P102" s="45"/>
      <c r="Q102" s="50">
        <v>200</v>
      </c>
      <c r="R102" s="45" t="s">
        <v>240</v>
      </c>
      <c r="S102" s="45"/>
      <c r="T102" s="50">
        <v>200</v>
      </c>
      <c r="U102" s="45" t="s">
        <v>240</v>
      </c>
      <c r="V102" s="45"/>
      <c r="W102" s="50">
        <v>200</v>
      </c>
      <c r="X102" s="45" t="s">
        <v>240</v>
      </c>
      <c r="Y102" s="45"/>
      <c r="Z102" s="50">
        <v>200</v>
      </c>
      <c r="AA102" s="45" t="s">
        <v>240</v>
      </c>
      <c r="AB102" s="45"/>
      <c r="AC102" s="50">
        <v>200</v>
      </c>
      <c r="AD102" s="45" t="s">
        <v>240</v>
      </c>
      <c r="AE102" s="45"/>
      <c r="AF102" s="50">
        <v>200</v>
      </c>
      <c r="AG102" s="45" t="s">
        <v>240</v>
      </c>
      <c r="AH102" s="45"/>
      <c r="AI102" s="50">
        <v>200</v>
      </c>
      <c r="AJ102" s="45" t="s">
        <v>240</v>
      </c>
      <c r="AK102" s="45"/>
      <c r="AL102" s="50">
        <v>200</v>
      </c>
      <c r="AM102" s="45" t="s">
        <v>240</v>
      </c>
      <c r="AN102" s="45"/>
      <c r="AO102" s="50">
        <v>200</v>
      </c>
    </row>
    <row r="103" spans="1:41" x14ac:dyDescent="0.55000000000000004">
      <c r="C103" s="45" t="s">
        <v>239</v>
      </c>
      <c r="D103" s="45"/>
      <c r="E103" s="50">
        <v>200</v>
      </c>
      <c r="F103" s="45" t="s">
        <v>239</v>
      </c>
      <c r="G103" s="45"/>
      <c r="H103" s="50">
        <v>200</v>
      </c>
      <c r="I103" s="45" t="s">
        <v>239</v>
      </c>
      <c r="J103" s="45"/>
      <c r="K103" s="50">
        <v>200</v>
      </c>
      <c r="L103" s="45" t="s">
        <v>239</v>
      </c>
      <c r="M103" s="45"/>
      <c r="N103" s="50">
        <v>200</v>
      </c>
      <c r="O103" s="45" t="s">
        <v>239</v>
      </c>
      <c r="P103" s="45"/>
      <c r="Q103" s="50">
        <v>200</v>
      </c>
      <c r="R103" s="45" t="s">
        <v>239</v>
      </c>
      <c r="S103" s="45"/>
      <c r="T103" s="50">
        <v>200</v>
      </c>
      <c r="U103" s="45" t="s">
        <v>239</v>
      </c>
      <c r="V103" s="45"/>
      <c r="W103" s="50">
        <v>200</v>
      </c>
      <c r="X103" s="45" t="s">
        <v>239</v>
      </c>
      <c r="Y103" s="45"/>
      <c r="Z103" s="50">
        <v>200</v>
      </c>
      <c r="AA103" s="45" t="s">
        <v>239</v>
      </c>
      <c r="AB103" s="45"/>
      <c r="AC103" s="50">
        <v>200</v>
      </c>
      <c r="AD103" s="45" t="s">
        <v>239</v>
      </c>
      <c r="AE103" s="45"/>
      <c r="AF103" s="50">
        <v>200</v>
      </c>
      <c r="AG103" s="45" t="s">
        <v>239</v>
      </c>
      <c r="AH103" s="45"/>
      <c r="AI103" s="50">
        <v>200</v>
      </c>
      <c r="AJ103" s="45" t="s">
        <v>239</v>
      </c>
      <c r="AK103" s="45"/>
      <c r="AL103" s="50">
        <v>200</v>
      </c>
      <c r="AM103" s="45" t="s">
        <v>239</v>
      </c>
      <c r="AN103" s="45"/>
      <c r="AO103" s="50">
        <v>200</v>
      </c>
    </row>
    <row r="104" spans="1:41" x14ac:dyDescent="0.55000000000000004">
      <c r="C104" s="45" t="s">
        <v>241</v>
      </c>
      <c r="D104" s="45"/>
      <c r="E104" s="50">
        <v>165</v>
      </c>
      <c r="F104" s="45" t="s">
        <v>241</v>
      </c>
      <c r="G104" s="45"/>
      <c r="H104" s="50">
        <v>165</v>
      </c>
      <c r="I104" s="45" t="s">
        <v>241</v>
      </c>
      <c r="J104" s="45"/>
      <c r="K104" s="50">
        <v>165</v>
      </c>
      <c r="L104" s="45" t="s">
        <v>241</v>
      </c>
      <c r="M104" s="45"/>
      <c r="N104" s="50">
        <v>165</v>
      </c>
      <c r="O104" s="45" t="s">
        <v>241</v>
      </c>
      <c r="P104" s="45"/>
      <c r="Q104" s="50">
        <v>165</v>
      </c>
      <c r="R104" s="45" t="s">
        <v>241</v>
      </c>
      <c r="S104" s="45"/>
      <c r="T104" s="50">
        <v>165</v>
      </c>
      <c r="U104" s="45" t="s">
        <v>241</v>
      </c>
      <c r="V104" s="45"/>
      <c r="W104" s="50">
        <v>165</v>
      </c>
      <c r="X104" s="45" t="s">
        <v>241</v>
      </c>
      <c r="Y104" s="45"/>
      <c r="Z104" s="50">
        <v>165</v>
      </c>
      <c r="AA104" s="45" t="s">
        <v>241</v>
      </c>
      <c r="AB104" s="45"/>
      <c r="AC104" s="50">
        <v>165</v>
      </c>
      <c r="AD104" s="45" t="s">
        <v>241</v>
      </c>
      <c r="AE104" s="45"/>
      <c r="AF104" s="50">
        <v>165</v>
      </c>
      <c r="AG104" s="45" t="s">
        <v>241</v>
      </c>
      <c r="AH104" s="45"/>
      <c r="AI104" s="50">
        <v>165</v>
      </c>
      <c r="AJ104" s="45" t="s">
        <v>241</v>
      </c>
      <c r="AK104" s="45"/>
      <c r="AL104" s="50">
        <v>165</v>
      </c>
      <c r="AM104" s="45" t="s">
        <v>241</v>
      </c>
      <c r="AN104" s="45"/>
      <c r="AO104" s="50">
        <v>165</v>
      </c>
    </row>
    <row r="105" spans="1:41" x14ac:dyDescent="0.55000000000000004">
      <c r="C105" s="45" t="s">
        <v>242</v>
      </c>
      <c r="D105" s="45"/>
      <c r="E105" s="50">
        <v>130</v>
      </c>
      <c r="F105" s="45" t="s">
        <v>242</v>
      </c>
      <c r="G105" s="45"/>
      <c r="H105" s="50">
        <v>130</v>
      </c>
      <c r="I105" s="45" t="s">
        <v>242</v>
      </c>
      <c r="J105" s="45"/>
      <c r="K105" s="50">
        <v>130</v>
      </c>
      <c r="L105" s="45" t="s">
        <v>242</v>
      </c>
      <c r="M105" s="45"/>
      <c r="N105" s="50">
        <v>130</v>
      </c>
      <c r="O105" s="45" t="s">
        <v>242</v>
      </c>
      <c r="P105" s="45"/>
      <c r="Q105" s="50">
        <v>130</v>
      </c>
      <c r="R105" s="45" t="s">
        <v>242</v>
      </c>
      <c r="S105" s="45"/>
      <c r="T105" s="50">
        <v>130</v>
      </c>
      <c r="U105" s="45" t="s">
        <v>242</v>
      </c>
      <c r="V105" s="45"/>
      <c r="W105" s="50">
        <v>130</v>
      </c>
      <c r="X105" s="45" t="s">
        <v>242</v>
      </c>
      <c r="Y105" s="45"/>
      <c r="Z105" s="50">
        <v>130</v>
      </c>
      <c r="AA105" s="45" t="s">
        <v>242</v>
      </c>
      <c r="AB105" s="45"/>
      <c r="AC105" s="50">
        <v>130</v>
      </c>
      <c r="AD105" s="45" t="s">
        <v>242</v>
      </c>
      <c r="AE105" s="45"/>
      <c r="AF105" s="50">
        <v>130</v>
      </c>
      <c r="AG105" s="45" t="s">
        <v>242</v>
      </c>
      <c r="AH105" s="45"/>
      <c r="AI105" s="50">
        <v>130</v>
      </c>
      <c r="AJ105" s="45" t="s">
        <v>242</v>
      </c>
      <c r="AK105" s="45"/>
      <c r="AL105" s="50">
        <v>130</v>
      </c>
      <c r="AM105" s="45" t="s">
        <v>242</v>
      </c>
      <c r="AN105" s="45"/>
      <c r="AO105" s="50">
        <v>130</v>
      </c>
    </row>
    <row r="106" spans="1:41" x14ac:dyDescent="0.55000000000000004">
      <c r="C106" s="45" t="s">
        <v>243</v>
      </c>
      <c r="D106" s="45"/>
      <c r="E106" s="50">
        <v>100</v>
      </c>
      <c r="F106" s="45" t="s">
        <v>243</v>
      </c>
      <c r="G106" s="45"/>
      <c r="H106" s="50">
        <v>100</v>
      </c>
      <c r="I106" s="45" t="s">
        <v>243</v>
      </c>
      <c r="J106" s="45"/>
      <c r="K106" s="50">
        <v>100</v>
      </c>
      <c r="L106" s="45" t="s">
        <v>243</v>
      </c>
      <c r="M106" s="45"/>
      <c r="N106" s="50">
        <v>100</v>
      </c>
      <c r="O106" s="45" t="s">
        <v>243</v>
      </c>
      <c r="P106" s="45"/>
      <c r="Q106" s="50">
        <v>100</v>
      </c>
      <c r="R106" s="45" t="s">
        <v>243</v>
      </c>
      <c r="S106" s="45"/>
      <c r="T106" s="50">
        <v>100</v>
      </c>
      <c r="U106" s="45" t="s">
        <v>243</v>
      </c>
      <c r="V106" s="45"/>
      <c r="W106" s="50">
        <v>100</v>
      </c>
      <c r="X106" s="45" t="s">
        <v>243</v>
      </c>
      <c r="Y106" s="45"/>
      <c r="Z106" s="50">
        <v>100</v>
      </c>
      <c r="AA106" s="45" t="s">
        <v>243</v>
      </c>
      <c r="AB106" s="45"/>
      <c r="AC106" s="50">
        <v>100</v>
      </c>
      <c r="AD106" s="45" t="s">
        <v>243</v>
      </c>
      <c r="AE106" s="45"/>
      <c r="AF106" s="50">
        <v>100</v>
      </c>
      <c r="AG106" s="45" t="s">
        <v>243</v>
      </c>
      <c r="AH106" s="45"/>
      <c r="AI106" s="50">
        <v>100</v>
      </c>
      <c r="AJ106" s="45" t="s">
        <v>243</v>
      </c>
      <c r="AK106" s="45"/>
      <c r="AL106" s="50">
        <v>100</v>
      </c>
      <c r="AM106" s="45" t="s">
        <v>243</v>
      </c>
      <c r="AN106" s="45"/>
      <c r="AO106" s="50">
        <v>100</v>
      </c>
    </row>
    <row r="107" spans="1:41" x14ac:dyDescent="0.55000000000000004">
      <c r="C107" s="45"/>
      <c r="D107" s="45"/>
      <c r="E107" s="50"/>
      <c r="F107" s="45"/>
      <c r="G107" s="45"/>
      <c r="H107" s="50"/>
      <c r="I107" s="45"/>
      <c r="J107" s="45"/>
      <c r="K107" s="50"/>
      <c r="L107" s="45"/>
      <c r="M107" s="45"/>
      <c r="N107" s="50"/>
      <c r="O107" s="45" t="s">
        <v>244</v>
      </c>
      <c r="P107" s="45"/>
      <c r="Q107" s="50">
        <v>100</v>
      </c>
      <c r="R107" s="45" t="s">
        <v>244</v>
      </c>
      <c r="S107" s="45"/>
      <c r="T107" s="50">
        <v>100</v>
      </c>
      <c r="U107" s="45" t="s">
        <v>244</v>
      </c>
      <c r="V107" s="45"/>
      <c r="W107" s="50">
        <v>100</v>
      </c>
      <c r="X107" s="45" t="s">
        <v>244</v>
      </c>
      <c r="Y107" s="45"/>
      <c r="Z107" s="50">
        <v>100</v>
      </c>
      <c r="AA107" s="45" t="s">
        <v>244</v>
      </c>
      <c r="AB107" s="45"/>
      <c r="AC107" s="50">
        <v>100</v>
      </c>
      <c r="AD107" s="45" t="s">
        <v>244</v>
      </c>
      <c r="AE107" s="45"/>
      <c r="AF107" s="50">
        <v>100</v>
      </c>
      <c r="AG107" s="45" t="s">
        <v>244</v>
      </c>
      <c r="AH107" s="45"/>
      <c r="AI107" s="50">
        <v>100</v>
      </c>
      <c r="AJ107" s="45" t="s">
        <v>244</v>
      </c>
      <c r="AK107" s="45"/>
      <c r="AL107" s="50">
        <v>100</v>
      </c>
      <c r="AM107" s="45" t="s">
        <v>244</v>
      </c>
      <c r="AN107" s="45"/>
      <c r="AO107" s="50">
        <v>100</v>
      </c>
    </row>
    <row r="108" spans="1:41" x14ac:dyDescent="0.55000000000000004">
      <c r="C108" s="45"/>
      <c r="D108" s="45"/>
      <c r="E108" s="50"/>
      <c r="F108" s="45"/>
      <c r="G108" s="45"/>
      <c r="H108" s="50"/>
      <c r="I108" s="45"/>
      <c r="J108" s="45"/>
      <c r="K108" s="50"/>
      <c r="L108" s="45"/>
      <c r="M108" s="45"/>
      <c r="N108" s="50"/>
      <c r="O108" s="45" t="s">
        <v>245</v>
      </c>
      <c r="P108" s="45"/>
      <c r="Q108" s="50">
        <v>100</v>
      </c>
      <c r="R108" s="45" t="s">
        <v>245</v>
      </c>
      <c r="S108" s="45"/>
      <c r="T108" s="50">
        <v>100</v>
      </c>
      <c r="U108" s="45" t="s">
        <v>245</v>
      </c>
      <c r="V108" s="45"/>
      <c r="W108" s="50">
        <v>100</v>
      </c>
      <c r="X108" s="45" t="s">
        <v>245</v>
      </c>
      <c r="Y108" s="45"/>
      <c r="Z108" s="50">
        <v>100</v>
      </c>
      <c r="AA108" s="45" t="s">
        <v>245</v>
      </c>
      <c r="AB108" s="45"/>
      <c r="AC108" s="50">
        <v>100</v>
      </c>
      <c r="AD108" s="45" t="s">
        <v>245</v>
      </c>
      <c r="AE108" s="45"/>
      <c r="AF108" s="50">
        <v>100</v>
      </c>
      <c r="AG108" s="45" t="s">
        <v>245</v>
      </c>
      <c r="AH108" s="45"/>
      <c r="AI108" s="50">
        <v>100</v>
      </c>
      <c r="AJ108" s="45" t="s">
        <v>245</v>
      </c>
      <c r="AK108" s="45"/>
      <c r="AL108" s="50">
        <v>100</v>
      </c>
      <c r="AM108" s="45" t="s">
        <v>245</v>
      </c>
      <c r="AN108" s="45"/>
      <c r="AO108" s="50">
        <v>100</v>
      </c>
    </row>
    <row r="109" spans="1:41" x14ac:dyDescent="0.55000000000000004">
      <c r="C109" s="45"/>
      <c r="D109" s="45"/>
      <c r="E109" s="50"/>
      <c r="F109" s="45"/>
      <c r="G109" s="45"/>
      <c r="H109" s="50"/>
      <c r="I109" s="45"/>
      <c r="J109" s="45"/>
      <c r="K109" s="50"/>
      <c r="L109" s="45"/>
      <c r="M109" s="45"/>
      <c r="N109" s="50"/>
      <c r="O109" s="45"/>
      <c r="P109" s="45"/>
      <c r="Q109" s="50"/>
      <c r="R109" s="45"/>
      <c r="S109" s="45"/>
      <c r="T109" s="50"/>
      <c r="U109" s="45"/>
      <c r="V109" s="45"/>
      <c r="W109" s="50"/>
      <c r="X109" s="45"/>
      <c r="Y109" s="45"/>
      <c r="Z109" s="50"/>
      <c r="AA109" s="45"/>
      <c r="AB109" s="45"/>
      <c r="AC109" s="50"/>
      <c r="AD109" s="45"/>
      <c r="AE109" s="45"/>
      <c r="AF109" s="50"/>
      <c r="AG109" s="45"/>
      <c r="AH109" s="45"/>
      <c r="AI109" s="50"/>
      <c r="AJ109" s="45"/>
      <c r="AK109" s="45"/>
      <c r="AL109" s="50"/>
      <c r="AM109" s="45"/>
      <c r="AN109" s="45"/>
      <c r="AO109" s="50"/>
    </row>
    <row r="110" spans="1:41" x14ac:dyDescent="0.55000000000000004">
      <c r="C110" s="45">
        <f>COUNTA(C100:C109)</f>
        <v>7</v>
      </c>
      <c r="D110" s="45"/>
      <c r="E110" s="45">
        <f>SUM(E100:E109)</f>
        <v>1195</v>
      </c>
      <c r="F110" s="45">
        <f>COUNTA(F100:F109)</f>
        <v>7</v>
      </c>
      <c r="G110" s="45"/>
      <c r="H110" s="45">
        <f>SUM(H100:H109)</f>
        <v>1195</v>
      </c>
      <c r="I110" s="45">
        <f>COUNTA(I100:I109)</f>
        <v>7</v>
      </c>
      <c r="J110" s="45"/>
      <c r="K110" s="45">
        <f>SUM(K100:K109)</f>
        <v>1195</v>
      </c>
      <c r="L110" s="45">
        <f>COUNTA(L100:L109)</f>
        <v>7</v>
      </c>
      <c r="M110" s="45"/>
      <c r="N110" s="45">
        <f>SUM(N100:N109)</f>
        <v>1195</v>
      </c>
      <c r="O110" s="45">
        <f>COUNTA(O100:O109)</f>
        <v>9</v>
      </c>
      <c r="P110" s="45"/>
      <c r="Q110" s="45">
        <f>SUM(Q100:Q109)</f>
        <v>1395</v>
      </c>
      <c r="R110" s="45">
        <f>COUNTA(R100:R109)</f>
        <v>9</v>
      </c>
      <c r="S110" s="45"/>
      <c r="T110" s="45">
        <f>SUM(T100:T109)</f>
        <v>1395</v>
      </c>
      <c r="U110" s="45">
        <f>COUNTA(U100:U109)</f>
        <v>9</v>
      </c>
      <c r="V110" s="45"/>
      <c r="W110" s="45">
        <f>SUM(W100:W109)</f>
        <v>1395</v>
      </c>
      <c r="X110" s="45">
        <f>COUNTA(X100:X109)</f>
        <v>9</v>
      </c>
      <c r="Y110" s="45"/>
      <c r="Z110" s="45">
        <f>SUM(Z100:Z109)</f>
        <v>1395</v>
      </c>
      <c r="AA110" s="45">
        <f>COUNTA(AA100:AA109)</f>
        <v>9</v>
      </c>
      <c r="AB110" s="45"/>
      <c r="AC110" s="45">
        <f>SUM(AC100:AC109)</f>
        <v>1395</v>
      </c>
      <c r="AD110" s="45">
        <f>COUNTA(AD100:AD109)</f>
        <v>9</v>
      </c>
      <c r="AE110" s="45"/>
      <c r="AF110" s="45">
        <f>SUM(AF100:AF109)</f>
        <v>1395</v>
      </c>
      <c r="AG110" s="45">
        <f>COUNTA(AG100:AG109)</f>
        <v>9</v>
      </c>
      <c r="AH110" s="45"/>
      <c r="AI110" s="45">
        <f>SUM(AI100:AI109)</f>
        <v>1395</v>
      </c>
      <c r="AJ110" s="45">
        <f>COUNTA(AJ100:AJ109)</f>
        <v>9</v>
      </c>
      <c r="AK110" s="45"/>
      <c r="AL110" s="45">
        <f>SUM(AL100:AL109)</f>
        <v>1395</v>
      </c>
      <c r="AM110" s="45">
        <f>COUNTA(AM100:AM109)</f>
        <v>9</v>
      </c>
      <c r="AN110" s="45"/>
      <c r="AO110" s="45">
        <f>SUM(AO100:AO109)</f>
        <v>1395</v>
      </c>
    </row>
    <row r="112" spans="1:41" x14ac:dyDescent="0.55000000000000004">
      <c r="A112" s="283" t="s">
        <v>117</v>
      </c>
      <c r="B112" s="283"/>
      <c r="C112" s="262" t="s">
        <v>4</v>
      </c>
      <c r="D112" s="284"/>
      <c r="E112" s="263"/>
      <c r="F112" s="262" t="s">
        <v>5</v>
      </c>
      <c r="G112" s="284"/>
      <c r="H112" s="263"/>
      <c r="I112" s="262" t="s">
        <v>6</v>
      </c>
      <c r="J112" s="284"/>
      <c r="K112" s="263"/>
      <c r="L112" s="262" t="s">
        <v>7</v>
      </c>
      <c r="M112" s="284"/>
      <c r="N112" s="263"/>
      <c r="O112" s="262" t="s">
        <v>8</v>
      </c>
      <c r="P112" s="284"/>
      <c r="Q112" s="263"/>
      <c r="R112" s="262" t="s">
        <v>10</v>
      </c>
      <c r="S112" s="284"/>
      <c r="T112" s="263"/>
      <c r="U112" s="262" t="s">
        <v>11</v>
      </c>
      <c r="V112" s="284"/>
      <c r="W112" s="263"/>
      <c r="X112" s="262" t="s">
        <v>12</v>
      </c>
      <c r="Y112" s="284"/>
      <c r="Z112" s="263"/>
      <c r="AA112" s="262" t="s">
        <v>13</v>
      </c>
      <c r="AB112" s="284"/>
      <c r="AC112" s="263"/>
      <c r="AD112" s="262" t="s">
        <v>14</v>
      </c>
      <c r="AE112" s="284"/>
      <c r="AF112" s="263"/>
      <c r="AG112" s="262" t="s">
        <v>15</v>
      </c>
      <c r="AH112" s="284"/>
      <c r="AI112" s="263"/>
      <c r="AJ112" s="262" t="s">
        <v>16</v>
      </c>
      <c r="AK112" s="284"/>
      <c r="AL112" s="263"/>
      <c r="AM112" s="262" t="s">
        <v>4</v>
      </c>
      <c r="AN112" s="284"/>
      <c r="AO112" s="263"/>
    </row>
    <row r="113" spans="1:41" ht="18.5" thickBot="1" x14ac:dyDescent="0.6">
      <c r="A113" s="255" t="s">
        <v>153</v>
      </c>
      <c r="B113" s="255"/>
      <c r="C113" s="264">
        <v>8</v>
      </c>
      <c r="D113" s="282"/>
      <c r="E113" s="265"/>
      <c r="F113" s="264">
        <v>8</v>
      </c>
      <c r="G113" s="282"/>
      <c r="H113" s="265"/>
      <c r="I113" s="264">
        <v>8</v>
      </c>
      <c r="J113" s="282"/>
      <c r="K113" s="265"/>
      <c r="L113" s="264">
        <v>8</v>
      </c>
      <c r="M113" s="282"/>
      <c r="N113" s="265"/>
      <c r="O113" s="264">
        <v>9</v>
      </c>
      <c r="P113" s="282"/>
      <c r="Q113" s="265"/>
      <c r="R113" s="264">
        <v>9</v>
      </c>
      <c r="S113" s="282"/>
      <c r="T113" s="265"/>
      <c r="U113" s="264">
        <v>9</v>
      </c>
      <c r="V113" s="282"/>
      <c r="W113" s="265"/>
      <c r="X113" s="264">
        <v>9</v>
      </c>
      <c r="Y113" s="282"/>
      <c r="Z113" s="265"/>
      <c r="AA113" s="264">
        <v>10</v>
      </c>
      <c r="AB113" s="282"/>
      <c r="AC113" s="265"/>
      <c r="AD113" s="264">
        <v>10</v>
      </c>
      <c r="AE113" s="282"/>
      <c r="AF113" s="265"/>
      <c r="AG113" s="264">
        <v>10</v>
      </c>
      <c r="AH113" s="282"/>
      <c r="AI113" s="265"/>
      <c r="AJ113" s="264">
        <v>10</v>
      </c>
      <c r="AK113" s="282"/>
      <c r="AL113" s="265"/>
      <c r="AM113" s="264">
        <v>10</v>
      </c>
      <c r="AN113" s="282"/>
      <c r="AO113" s="265"/>
    </row>
    <row r="114" spans="1:41" ht="18.5" thickBot="1" x14ac:dyDescent="0.6">
      <c r="A114" s="256" t="s">
        <v>31</v>
      </c>
      <c r="B114" s="257"/>
      <c r="C114" s="266">
        <f>C130</f>
        <v>8</v>
      </c>
      <c r="D114" s="275"/>
      <c r="E114" s="267"/>
      <c r="F114" s="266">
        <f>F130</f>
        <v>8</v>
      </c>
      <c r="G114" s="275"/>
      <c r="H114" s="267"/>
      <c r="I114" s="266">
        <f>I130</f>
        <v>8</v>
      </c>
      <c r="J114" s="275"/>
      <c r="K114" s="267"/>
      <c r="L114" s="266">
        <f>L130</f>
        <v>8</v>
      </c>
      <c r="M114" s="275"/>
      <c r="N114" s="267"/>
      <c r="O114" s="266">
        <f>O130</f>
        <v>8</v>
      </c>
      <c r="P114" s="275"/>
      <c r="Q114" s="267"/>
      <c r="R114" s="266">
        <f>R130</f>
        <v>8</v>
      </c>
      <c r="S114" s="275"/>
      <c r="T114" s="267"/>
      <c r="U114" s="266">
        <f>U130</f>
        <v>8</v>
      </c>
      <c r="V114" s="275"/>
      <c r="W114" s="267"/>
      <c r="X114" s="266">
        <f>X130</f>
        <v>8</v>
      </c>
      <c r="Y114" s="275"/>
      <c r="Z114" s="267"/>
      <c r="AA114" s="266">
        <f>AA130</f>
        <v>8</v>
      </c>
      <c r="AB114" s="275"/>
      <c r="AC114" s="267"/>
      <c r="AD114" s="266">
        <f>AD130</f>
        <v>8</v>
      </c>
      <c r="AE114" s="275"/>
      <c r="AF114" s="267"/>
      <c r="AG114" s="266">
        <f>AG130</f>
        <v>8</v>
      </c>
      <c r="AH114" s="275"/>
      <c r="AI114" s="267"/>
      <c r="AJ114" s="266">
        <f>AJ130</f>
        <v>8</v>
      </c>
      <c r="AK114" s="275"/>
      <c r="AL114" s="267"/>
      <c r="AM114" s="266">
        <f>AM130</f>
        <v>8</v>
      </c>
      <c r="AN114" s="275"/>
      <c r="AO114" s="276"/>
    </row>
    <row r="115" spans="1:41" x14ac:dyDescent="0.55000000000000004">
      <c r="A115" s="258" t="s">
        <v>169</v>
      </c>
      <c r="B115" s="258"/>
      <c r="C115" s="277">
        <f>C114-C113</f>
        <v>0</v>
      </c>
      <c r="D115" s="281"/>
      <c r="E115" s="278"/>
      <c r="F115" s="277">
        <f>F114-F113</f>
        <v>0</v>
      </c>
      <c r="G115" s="281"/>
      <c r="H115" s="278"/>
      <c r="I115" s="277">
        <f>I114-I113</f>
        <v>0</v>
      </c>
      <c r="J115" s="281"/>
      <c r="K115" s="278"/>
      <c r="L115" s="277">
        <f>L114-L113</f>
        <v>0</v>
      </c>
      <c r="M115" s="281"/>
      <c r="N115" s="278"/>
      <c r="O115" s="277">
        <f>O114-O113</f>
        <v>-1</v>
      </c>
      <c r="P115" s="281"/>
      <c r="Q115" s="278"/>
      <c r="R115" s="277">
        <f>R114-R113</f>
        <v>-1</v>
      </c>
      <c r="S115" s="281"/>
      <c r="T115" s="278"/>
      <c r="U115" s="277">
        <f>U114-U113</f>
        <v>-1</v>
      </c>
      <c r="V115" s="281"/>
      <c r="W115" s="278"/>
      <c r="X115" s="277">
        <f>X114-X113</f>
        <v>-1</v>
      </c>
      <c r="Y115" s="281"/>
      <c r="Z115" s="278"/>
      <c r="AA115" s="277">
        <f>AA114-AA113</f>
        <v>-2</v>
      </c>
      <c r="AB115" s="281"/>
      <c r="AC115" s="278"/>
      <c r="AD115" s="277">
        <f>AD114-AD113</f>
        <v>-2</v>
      </c>
      <c r="AE115" s="281"/>
      <c r="AF115" s="278"/>
      <c r="AG115" s="277">
        <f>AG114-AG113</f>
        <v>-2</v>
      </c>
      <c r="AH115" s="281"/>
      <c r="AI115" s="278"/>
      <c r="AJ115" s="277">
        <f>AJ114-AJ113</f>
        <v>-2</v>
      </c>
      <c r="AK115" s="281"/>
      <c r="AL115" s="278"/>
      <c r="AM115" s="277">
        <f>AM114-AM113</f>
        <v>-2</v>
      </c>
      <c r="AN115" s="281"/>
      <c r="AO115" s="278"/>
    </row>
    <row r="116" spans="1:41" x14ac:dyDescent="0.55000000000000004">
      <c r="A116" s="259" t="s">
        <v>17</v>
      </c>
      <c r="B116" s="259"/>
      <c r="C116" s="270">
        <f>E130</f>
        <v>1460</v>
      </c>
      <c r="D116" s="280"/>
      <c r="E116" s="271"/>
      <c r="F116" s="270">
        <f>H130</f>
        <v>1460</v>
      </c>
      <c r="G116" s="280"/>
      <c r="H116" s="271"/>
      <c r="I116" s="270">
        <f>K130</f>
        <v>1460</v>
      </c>
      <c r="J116" s="280"/>
      <c r="K116" s="271"/>
      <c r="L116" s="270">
        <f>N130</f>
        <v>1460</v>
      </c>
      <c r="M116" s="280"/>
      <c r="N116" s="271"/>
      <c r="O116" s="270">
        <f>Q130</f>
        <v>1460</v>
      </c>
      <c r="P116" s="280"/>
      <c r="Q116" s="271"/>
      <c r="R116" s="270">
        <f>T130</f>
        <v>1460</v>
      </c>
      <c r="S116" s="280"/>
      <c r="T116" s="271"/>
      <c r="U116" s="270">
        <f>W130</f>
        <v>1460</v>
      </c>
      <c r="V116" s="280"/>
      <c r="W116" s="271"/>
      <c r="X116" s="270">
        <f>Z130</f>
        <v>1460</v>
      </c>
      <c r="Y116" s="280"/>
      <c r="Z116" s="271"/>
      <c r="AA116" s="270">
        <f>AC130</f>
        <v>1460</v>
      </c>
      <c r="AB116" s="280"/>
      <c r="AC116" s="271"/>
      <c r="AD116" s="270">
        <f>AF130</f>
        <v>1460</v>
      </c>
      <c r="AE116" s="280"/>
      <c r="AF116" s="271"/>
      <c r="AG116" s="270">
        <f>AI130</f>
        <v>1460</v>
      </c>
      <c r="AH116" s="280"/>
      <c r="AI116" s="271"/>
      <c r="AJ116" s="270">
        <f>AL130</f>
        <v>1460</v>
      </c>
      <c r="AK116" s="280"/>
      <c r="AL116" s="271"/>
      <c r="AM116" s="270">
        <f>AO130</f>
        <v>1460</v>
      </c>
      <c r="AN116" s="280"/>
      <c r="AO116" s="271"/>
    </row>
    <row r="117" spans="1:41" x14ac:dyDescent="0.55000000000000004">
      <c r="C117" s="54"/>
      <c r="D117" s="54"/>
      <c r="L117" s="53"/>
      <c r="M117" s="53"/>
      <c r="N117" s="52"/>
      <c r="O117" s="54"/>
      <c r="P117" s="54"/>
    </row>
    <row r="118" spans="1:41" x14ac:dyDescent="0.55000000000000004">
      <c r="C118" s="26" t="s">
        <v>209</v>
      </c>
      <c r="D118" s="26"/>
      <c r="F118" s="26"/>
      <c r="G118" s="26"/>
    </row>
    <row r="119" spans="1:41" x14ac:dyDescent="0.55000000000000004">
      <c r="C119" s="253" t="s">
        <v>4</v>
      </c>
      <c r="D119" s="279"/>
      <c r="E119" s="254"/>
      <c r="F119" s="253" t="s">
        <v>5</v>
      </c>
      <c r="G119" s="279"/>
      <c r="H119" s="254"/>
      <c r="I119" s="253" t="s">
        <v>6</v>
      </c>
      <c r="J119" s="279"/>
      <c r="K119" s="254"/>
      <c r="L119" s="253" t="s">
        <v>7</v>
      </c>
      <c r="M119" s="279"/>
      <c r="N119" s="254"/>
      <c r="O119" s="253" t="s">
        <v>8</v>
      </c>
      <c r="P119" s="279"/>
      <c r="Q119" s="254"/>
      <c r="R119" s="253" t="s">
        <v>10</v>
      </c>
      <c r="S119" s="279"/>
      <c r="T119" s="254"/>
      <c r="U119" s="253" t="s">
        <v>11</v>
      </c>
      <c r="V119" s="279"/>
      <c r="W119" s="254"/>
      <c r="X119" s="253" t="s">
        <v>12</v>
      </c>
      <c r="Y119" s="279"/>
      <c r="Z119" s="254"/>
      <c r="AA119" s="253" t="s">
        <v>13</v>
      </c>
      <c r="AB119" s="279"/>
      <c r="AC119" s="254"/>
      <c r="AD119" s="253" t="s">
        <v>14</v>
      </c>
      <c r="AE119" s="279"/>
      <c r="AF119" s="254"/>
      <c r="AG119" s="253" t="s">
        <v>15</v>
      </c>
      <c r="AH119" s="279"/>
      <c r="AI119" s="254"/>
      <c r="AJ119" s="253" t="s">
        <v>16</v>
      </c>
      <c r="AK119" s="279"/>
      <c r="AL119" s="254"/>
      <c r="AM119" s="253" t="s">
        <v>4</v>
      </c>
      <c r="AN119" s="279"/>
      <c r="AO119" s="254"/>
    </row>
    <row r="120" spans="1:41" x14ac:dyDescent="0.55000000000000004">
      <c r="C120" s="45" t="s">
        <v>246</v>
      </c>
      <c r="D120" s="45"/>
      <c r="E120" s="50">
        <v>200</v>
      </c>
      <c r="F120" s="45" t="s">
        <v>246</v>
      </c>
      <c r="G120" s="45"/>
      <c r="H120" s="50">
        <v>200</v>
      </c>
      <c r="I120" s="45" t="s">
        <v>246</v>
      </c>
      <c r="J120" s="45"/>
      <c r="K120" s="50">
        <v>200</v>
      </c>
      <c r="L120" s="45" t="s">
        <v>246</v>
      </c>
      <c r="M120" s="45"/>
      <c r="N120" s="50">
        <v>200</v>
      </c>
      <c r="O120" s="45" t="s">
        <v>246</v>
      </c>
      <c r="P120" s="45"/>
      <c r="Q120" s="50">
        <v>200</v>
      </c>
      <c r="R120" s="45" t="s">
        <v>246</v>
      </c>
      <c r="S120" s="45"/>
      <c r="T120" s="50">
        <v>200</v>
      </c>
      <c r="U120" s="45" t="s">
        <v>246</v>
      </c>
      <c r="V120" s="45"/>
      <c r="W120" s="50">
        <v>200</v>
      </c>
      <c r="X120" s="45" t="s">
        <v>246</v>
      </c>
      <c r="Y120" s="45"/>
      <c r="Z120" s="50">
        <v>200</v>
      </c>
      <c r="AA120" s="45" t="s">
        <v>246</v>
      </c>
      <c r="AB120" s="45"/>
      <c r="AC120" s="50">
        <v>200</v>
      </c>
      <c r="AD120" s="45" t="s">
        <v>246</v>
      </c>
      <c r="AE120" s="45"/>
      <c r="AF120" s="50">
        <v>200</v>
      </c>
      <c r="AG120" s="45" t="s">
        <v>246</v>
      </c>
      <c r="AH120" s="45"/>
      <c r="AI120" s="50">
        <v>200</v>
      </c>
      <c r="AJ120" s="45" t="s">
        <v>246</v>
      </c>
      <c r="AK120" s="45"/>
      <c r="AL120" s="50">
        <v>200</v>
      </c>
      <c r="AM120" s="45" t="s">
        <v>246</v>
      </c>
      <c r="AN120" s="45"/>
      <c r="AO120" s="50">
        <v>200</v>
      </c>
    </row>
    <row r="121" spans="1:41" x14ac:dyDescent="0.55000000000000004">
      <c r="C121" s="45" t="s">
        <v>247</v>
      </c>
      <c r="D121" s="45"/>
      <c r="E121" s="50">
        <v>200</v>
      </c>
      <c r="F121" s="45" t="s">
        <v>247</v>
      </c>
      <c r="G121" s="45"/>
      <c r="H121" s="50">
        <v>200</v>
      </c>
      <c r="I121" s="45" t="s">
        <v>247</v>
      </c>
      <c r="J121" s="45"/>
      <c r="K121" s="50">
        <v>200</v>
      </c>
      <c r="L121" s="45" t="s">
        <v>247</v>
      </c>
      <c r="M121" s="45"/>
      <c r="N121" s="50">
        <v>200</v>
      </c>
      <c r="O121" s="45" t="s">
        <v>247</v>
      </c>
      <c r="P121" s="45"/>
      <c r="Q121" s="50">
        <v>200</v>
      </c>
      <c r="R121" s="45" t="s">
        <v>247</v>
      </c>
      <c r="S121" s="45"/>
      <c r="T121" s="50">
        <v>200</v>
      </c>
      <c r="U121" s="45" t="s">
        <v>247</v>
      </c>
      <c r="V121" s="45"/>
      <c r="W121" s="50">
        <v>200</v>
      </c>
      <c r="X121" s="45" t="s">
        <v>247</v>
      </c>
      <c r="Y121" s="45"/>
      <c r="Z121" s="50">
        <v>200</v>
      </c>
      <c r="AA121" s="45" t="s">
        <v>247</v>
      </c>
      <c r="AB121" s="45"/>
      <c r="AC121" s="50">
        <v>200</v>
      </c>
      <c r="AD121" s="45" t="s">
        <v>247</v>
      </c>
      <c r="AE121" s="45"/>
      <c r="AF121" s="50">
        <v>200</v>
      </c>
      <c r="AG121" s="45" t="s">
        <v>247</v>
      </c>
      <c r="AH121" s="45"/>
      <c r="AI121" s="50">
        <v>200</v>
      </c>
      <c r="AJ121" s="45" t="s">
        <v>247</v>
      </c>
      <c r="AK121" s="45"/>
      <c r="AL121" s="50">
        <v>200</v>
      </c>
      <c r="AM121" s="45" t="s">
        <v>247</v>
      </c>
      <c r="AN121" s="45"/>
      <c r="AO121" s="50">
        <v>200</v>
      </c>
    </row>
    <row r="122" spans="1:41" x14ac:dyDescent="0.55000000000000004">
      <c r="C122" s="45" t="s">
        <v>248</v>
      </c>
      <c r="D122" s="45"/>
      <c r="E122" s="50">
        <v>200</v>
      </c>
      <c r="F122" s="45" t="s">
        <v>248</v>
      </c>
      <c r="G122" s="45"/>
      <c r="H122" s="50">
        <v>200</v>
      </c>
      <c r="I122" s="45" t="s">
        <v>248</v>
      </c>
      <c r="J122" s="45"/>
      <c r="K122" s="50">
        <v>200</v>
      </c>
      <c r="L122" s="45" t="s">
        <v>248</v>
      </c>
      <c r="M122" s="45"/>
      <c r="N122" s="50">
        <v>200</v>
      </c>
      <c r="O122" s="45" t="s">
        <v>248</v>
      </c>
      <c r="P122" s="45"/>
      <c r="Q122" s="50">
        <v>200</v>
      </c>
      <c r="R122" s="45" t="s">
        <v>248</v>
      </c>
      <c r="S122" s="45"/>
      <c r="T122" s="50">
        <v>200</v>
      </c>
      <c r="U122" s="45" t="s">
        <v>248</v>
      </c>
      <c r="V122" s="45"/>
      <c r="W122" s="50">
        <v>200</v>
      </c>
      <c r="X122" s="45" t="s">
        <v>248</v>
      </c>
      <c r="Y122" s="45"/>
      <c r="Z122" s="50">
        <v>200</v>
      </c>
      <c r="AA122" s="45" t="s">
        <v>248</v>
      </c>
      <c r="AB122" s="45"/>
      <c r="AC122" s="50">
        <v>200</v>
      </c>
      <c r="AD122" s="45" t="s">
        <v>248</v>
      </c>
      <c r="AE122" s="45"/>
      <c r="AF122" s="50">
        <v>200</v>
      </c>
      <c r="AG122" s="45" t="s">
        <v>248</v>
      </c>
      <c r="AH122" s="45"/>
      <c r="AI122" s="50">
        <v>200</v>
      </c>
      <c r="AJ122" s="45" t="s">
        <v>248</v>
      </c>
      <c r="AK122" s="45"/>
      <c r="AL122" s="50">
        <v>200</v>
      </c>
      <c r="AM122" s="45" t="s">
        <v>248</v>
      </c>
      <c r="AN122" s="45"/>
      <c r="AO122" s="50">
        <v>200</v>
      </c>
    </row>
    <row r="123" spans="1:41" x14ac:dyDescent="0.55000000000000004">
      <c r="C123" s="45" t="s">
        <v>249</v>
      </c>
      <c r="D123" s="45"/>
      <c r="E123" s="50">
        <v>200</v>
      </c>
      <c r="F123" s="45" t="s">
        <v>249</v>
      </c>
      <c r="G123" s="45"/>
      <c r="H123" s="50">
        <v>200</v>
      </c>
      <c r="I123" s="45" t="s">
        <v>249</v>
      </c>
      <c r="J123" s="45"/>
      <c r="K123" s="50">
        <v>200</v>
      </c>
      <c r="L123" s="45" t="s">
        <v>249</v>
      </c>
      <c r="M123" s="45"/>
      <c r="N123" s="50">
        <v>200</v>
      </c>
      <c r="O123" s="45" t="s">
        <v>249</v>
      </c>
      <c r="P123" s="45"/>
      <c r="Q123" s="50">
        <v>200</v>
      </c>
      <c r="R123" s="45" t="s">
        <v>249</v>
      </c>
      <c r="S123" s="45"/>
      <c r="T123" s="50">
        <v>200</v>
      </c>
      <c r="U123" s="45" t="s">
        <v>249</v>
      </c>
      <c r="V123" s="45"/>
      <c r="W123" s="50">
        <v>200</v>
      </c>
      <c r="X123" s="45" t="s">
        <v>249</v>
      </c>
      <c r="Y123" s="45"/>
      <c r="Z123" s="50">
        <v>200</v>
      </c>
      <c r="AA123" s="45" t="s">
        <v>249</v>
      </c>
      <c r="AB123" s="45"/>
      <c r="AC123" s="50">
        <v>200</v>
      </c>
      <c r="AD123" s="45" t="s">
        <v>249</v>
      </c>
      <c r="AE123" s="45"/>
      <c r="AF123" s="50">
        <v>200</v>
      </c>
      <c r="AG123" s="45" t="s">
        <v>249</v>
      </c>
      <c r="AH123" s="45"/>
      <c r="AI123" s="50">
        <v>200</v>
      </c>
      <c r="AJ123" s="45" t="s">
        <v>249</v>
      </c>
      <c r="AK123" s="45"/>
      <c r="AL123" s="50">
        <v>200</v>
      </c>
      <c r="AM123" s="45" t="s">
        <v>249</v>
      </c>
      <c r="AN123" s="45"/>
      <c r="AO123" s="50">
        <v>200</v>
      </c>
    </row>
    <row r="124" spans="1:41" x14ac:dyDescent="0.55000000000000004">
      <c r="C124" s="45" t="s">
        <v>250</v>
      </c>
      <c r="D124" s="45"/>
      <c r="E124" s="50">
        <v>200</v>
      </c>
      <c r="F124" s="45" t="s">
        <v>250</v>
      </c>
      <c r="G124" s="45"/>
      <c r="H124" s="50">
        <v>200</v>
      </c>
      <c r="I124" s="45" t="s">
        <v>250</v>
      </c>
      <c r="J124" s="45"/>
      <c r="K124" s="50">
        <v>200</v>
      </c>
      <c r="L124" s="45" t="s">
        <v>250</v>
      </c>
      <c r="M124" s="45"/>
      <c r="N124" s="50">
        <v>200</v>
      </c>
      <c r="O124" s="45" t="s">
        <v>250</v>
      </c>
      <c r="P124" s="45"/>
      <c r="Q124" s="50">
        <v>200</v>
      </c>
      <c r="R124" s="45" t="s">
        <v>250</v>
      </c>
      <c r="S124" s="45"/>
      <c r="T124" s="50">
        <v>200</v>
      </c>
      <c r="U124" s="45" t="s">
        <v>250</v>
      </c>
      <c r="V124" s="45"/>
      <c r="W124" s="50">
        <v>200</v>
      </c>
      <c r="X124" s="45" t="s">
        <v>250</v>
      </c>
      <c r="Y124" s="45"/>
      <c r="Z124" s="50">
        <v>200</v>
      </c>
      <c r="AA124" s="45" t="s">
        <v>250</v>
      </c>
      <c r="AB124" s="45"/>
      <c r="AC124" s="50">
        <v>200</v>
      </c>
      <c r="AD124" s="45" t="s">
        <v>250</v>
      </c>
      <c r="AE124" s="45"/>
      <c r="AF124" s="50">
        <v>200</v>
      </c>
      <c r="AG124" s="45" t="s">
        <v>250</v>
      </c>
      <c r="AH124" s="45"/>
      <c r="AI124" s="50">
        <v>200</v>
      </c>
      <c r="AJ124" s="45" t="s">
        <v>250</v>
      </c>
      <c r="AK124" s="45"/>
      <c r="AL124" s="50">
        <v>200</v>
      </c>
      <c r="AM124" s="45" t="s">
        <v>250</v>
      </c>
      <c r="AN124" s="45"/>
      <c r="AO124" s="50">
        <v>200</v>
      </c>
    </row>
    <row r="125" spans="1:41" x14ac:dyDescent="0.55000000000000004">
      <c r="C125" s="45" t="s">
        <v>251</v>
      </c>
      <c r="D125" s="45"/>
      <c r="E125" s="50">
        <v>130</v>
      </c>
      <c r="F125" s="45" t="s">
        <v>251</v>
      </c>
      <c r="G125" s="45"/>
      <c r="H125" s="50">
        <v>130</v>
      </c>
      <c r="I125" s="45" t="s">
        <v>251</v>
      </c>
      <c r="J125" s="45"/>
      <c r="K125" s="50">
        <v>130</v>
      </c>
      <c r="L125" s="45" t="s">
        <v>251</v>
      </c>
      <c r="M125" s="45"/>
      <c r="N125" s="50">
        <v>130</v>
      </c>
      <c r="O125" s="45" t="s">
        <v>251</v>
      </c>
      <c r="P125" s="45"/>
      <c r="Q125" s="50">
        <v>130</v>
      </c>
      <c r="R125" s="45" t="s">
        <v>251</v>
      </c>
      <c r="S125" s="45"/>
      <c r="T125" s="50">
        <v>130</v>
      </c>
      <c r="U125" s="45" t="s">
        <v>251</v>
      </c>
      <c r="V125" s="45"/>
      <c r="W125" s="50">
        <v>130</v>
      </c>
      <c r="X125" s="45" t="s">
        <v>251</v>
      </c>
      <c r="Y125" s="45"/>
      <c r="Z125" s="50">
        <v>130</v>
      </c>
      <c r="AA125" s="45" t="s">
        <v>251</v>
      </c>
      <c r="AB125" s="45"/>
      <c r="AC125" s="50">
        <v>130</v>
      </c>
      <c r="AD125" s="45" t="s">
        <v>251</v>
      </c>
      <c r="AE125" s="45"/>
      <c r="AF125" s="50">
        <v>130</v>
      </c>
      <c r="AG125" s="45" t="s">
        <v>251</v>
      </c>
      <c r="AH125" s="45"/>
      <c r="AI125" s="50">
        <v>130</v>
      </c>
      <c r="AJ125" s="45" t="s">
        <v>251</v>
      </c>
      <c r="AK125" s="45"/>
      <c r="AL125" s="50">
        <v>130</v>
      </c>
      <c r="AM125" s="45" t="s">
        <v>251</v>
      </c>
      <c r="AN125" s="45"/>
      <c r="AO125" s="50">
        <v>130</v>
      </c>
    </row>
    <row r="126" spans="1:41" x14ac:dyDescent="0.55000000000000004">
      <c r="C126" s="45" t="s">
        <v>252</v>
      </c>
      <c r="D126" s="45"/>
      <c r="E126" s="50">
        <v>165</v>
      </c>
      <c r="F126" s="45" t="s">
        <v>252</v>
      </c>
      <c r="G126" s="45"/>
      <c r="H126" s="50">
        <v>165</v>
      </c>
      <c r="I126" s="45" t="s">
        <v>252</v>
      </c>
      <c r="J126" s="45"/>
      <c r="K126" s="50">
        <v>165</v>
      </c>
      <c r="L126" s="45" t="s">
        <v>252</v>
      </c>
      <c r="M126" s="45"/>
      <c r="N126" s="50">
        <v>165</v>
      </c>
      <c r="O126" s="45" t="s">
        <v>252</v>
      </c>
      <c r="P126" s="45"/>
      <c r="Q126" s="50">
        <v>165</v>
      </c>
      <c r="R126" s="45" t="s">
        <v>252</v>
      </c>
      <c r="S126" s="45"/>
      <c r="T126" s="50">
        <v>165</v>
      </c>
      <c r="U126" s="45" t="s">
        <v>252</v>
      </c>
      <c r="V126" s="45"/>
      <c r="W126" s="50">
        <v>165</v>
      </c>
      <c r="X126" s="45" t="s">
        <v>252</v>
      </c>
      <c r="Y126" s="45"/>
      <c r="Z126" s="50">
        <v>165</v>
      </c>
      <c r="AA126" s="45" t="s">
        <v>252</v>
      </c>
      <c r="AB126" s="45"/>
      <c r="AC126" s="50">
        <v>165</v>
      </c>
      <c r="AD126" s="45" t="s">
        <v>252</v>
      </c>
      <c r="AE126" s="45"/>
      <c r="AF126" s="50">
        <v>165</v>
      </c>
      <c r="AG126" s="45" t="s">
        <v>252</v>
      </c>
      <c r="AH126" s="45"/>
      <c r="AI126" s="50">
        <v>165</v>
      </c>
      <c r="AJ126" s="45" t="s">
        <v>252</v>
      </c>
      <c r="AK126" s="45"/>
      <c r="AL126" s="50">
        <v>165</v>
      </c>
      <c r="AM126" s="45" t="s">
        <v>252</v>
      </c>
      <c r="AN126" s="45"/>
      <c r="AO126" s="50">
        <v>165</v>
      </c>
    </row>
    <row r="127" spans="1:41" x14ac:dyDescent="0.55000000000000004">
      <c r="C127" s="45" t="s">
        <v>253</v>
      </c>
      <c r="D127" s="45"/>
      <c r="E127" s="50">
        <v>165</v>
      </c>
      <c r="F127" s="45" t="s">
        <v>253</v>
      </c>
      <c r="G127" s="45"/>
      <c r="H127" s="50">
        <v>165</v>
      </c>
      <c r="I127" s="45" t="s">
        <v>253</v>
      </c>
      <c r="J127" s="45"/>
      <c r="K127" s="50">
        <v>165</v>
      </c>
      <c r="L127" s="45" t="s">
        <v>253</v>
      </c>
      <c r="M127" s="45"/>
      <c r="N127" s="50">
        <v>165</v>
      </c>
      <c r="O127" s="45" t="s">
        <v>253</v>
      </c>
      <c r="P127" s="45"/>
      <c r="Q127" s="50">
        <v>165</v>
      </c>
      <c r="R127" s="45" t="s">
        <v>253</v>
      </c>
      <c r="S127" s="45"/>
      <c r="T127" s="50">
        <v>165</v>
      </c>
      <c r="U127" s="45" t="s">
        <v>253</v>
      </c>
      <c r="V127" s="45"/>
      <c r="W127" s="50">
        <v>165</v>
      </c>
      <c r="X127" s="45" t="s">
        <v>253</v>
      </c>
      <c r="Y127" s="45"/>
      <c r="Z127" s="50">
        <v>165</v>
      </c>
      <c r="AA127" s="45" t="s">
        <v>253</v>
      </c>
      <c r="AB127" s="45"/>
      <c r="AC127" s="50">
        <v>165</v>
      </c>
      <c r="AD127" s="45" t="s">
        <v>253</v>
      </c>
      <c r="AE127" s="45"/>
      <c r="AF127" s="50">
        <v>165</v>
      </c>
      <c r="AG127" s="45" t="s">
        <v>253</v>
      </c>
      <c r="AH127" s="45"/>
      <c r="AI127" s="50">
        <v>165</v>
      </c>
      <c r="AJ127" s="45" t="s">
        <v>253</v>
      </c>
      <c r="AK127" s="45"/>
      <c r="AL127" s="50">
        <v>165</v>
      </c>
      <c r="AM127" s="45" t="s">
        <v>253</v>
      </c>
      <c r="AN127" s="45"/>
      <c r="AO127" s="50">
        <v>165</v>
      </c>
    </row>
    <row r="128" spans="1:41" x14ac:dyDescent="0.55000000000000004">
      <c r="C128" s="45"/>
      <c r="D128" s="45"/>
      <c r="E128" s="50"/>
      <c r="F128" s="45"/>
      <c r="G128" s="45"/>
      <c r="H128" s="50"/>
      <c r="I128" s="45"/>
      <c r="J128" s="45"/>
      <c r="K128" s="50"/>
      <c r="L128" s="45"/>
      <c r="M128" s="45"/>
      <c r="N128" s="50"/>
      <c r="O128" s="45"/>
      <c r="P128" s="45"/>
      <c r="Q128" s="50"/>
      <c r="R128" s="45"/>
      <c r="S128" s="45"/>
      <c r="T128" s="50"/>
      <c r="U128" s="45"/>
      <c r="V128" s="45"/>
      <c r="W128" s="50"/>
      <c r="X128" s="45"/>
      <c r="Y128" s="45"/>
      <c r="Z128" s="50"/>
      <c r="AA128" s="45"/>
      <c r="AB128" s="45"/>
      <c r="AC128" s="50"/>
      <c r="AD128" s="45"/>
      <c r="AE128" s="45"/>
      <c r="AF128" s="50"/>
      <c r="AG128" s="45"/>
      <c r="AH128" s="45"/>
      <c r="AI128" s="50"/>
      <c r="AJ128" s="45"/>
      <c r="AK128" s="45"/>
      <c r="AL128" s="50"/>
      <c r="AM128" s="45"/>
      <c r="AN128" s="45"/>
      <c r="AO128" s="50"/>
    </row>
    <row r="129" spans="3:41" x14ac:dyDescent="0.55000000000000004">
      <c r="C129" s="45"/>
      <c r="D129" s="45"/>
      <c r="E129" s="50"/>
      <c r="F129" s="45"/>
      <c r="G129" s="45"/>
      <c r="H129" s="50"/>
      <c r="I129" s="45"/>
      <c r="J129" s="45"/>
      <c r="K129" s="50"/>
      <c r="L129" s="45"/>
      <c r="M129" s="45"/>
      <c r="N129" s="50"/>
      <c r="O129" s="45"/>
      <c r="P129" s="45"/>
      <c r="Q129" s="50"/>
      <c r="R129" s="45"/>
      <c r="S129" s="45"/>
      <c r="T129" s="50"/>
      <c r="U129" s="45"/>
      <c r="V129" s="45"/>
      <c r="W129" s="50"/>
      <c r="X129" s="45"/>
      <c r="Y129" s="45"/>
      <c r="Z129" s="50"/>
      <c r="AA129" s="45"/>
      <c r="AB129" s="45"/>
      <c r="AC129" s="50"/>
      <c r="AD129" s="45"/>
      <c r="AE129" s="45"/>
      <c r="AF129" s="50"/>
      <c r="AG129" s="45"/>
      <c r="AH129" s="45"/>
      <c r="AI129" s="50"/>
      <c r="AJ129" s="45"/>
      <c r="AK129" s="45"/>
      <c r="AL129" s="50"/>
      <c r="AM129" s="45"/>
      <c r="AN129" s="45"/>
      <c r="AO129" s="50"/>
    </row>
    <row r="130" spans="3:41" x14ac:dyDescent="0.55000000000000004">
      <c r="C130" s="45">
        <f>COUNTA(C120:C129)</f>
        <v>8</v>
      </c>
      <c r="D130" s="45"/>
      <c r="E130" s="45">
        <f>SUM(E120:E129)</f>
        <v>1460</v>
      </c>
      <c r="F130" s="45">
        <f>COUNTA(F120:F129)</f>
        <v>8</v>
      </c>
      <c r="G130" s="45"/>
      <c r="H130" s="45">
        <f>SUM(H120:H129)</f>
        <v>1460</v>
      </c>
      <c r="I130" s="45">
        <f>COUNTA(I120:I129)</f>
        <v>8</v>
      </c>
      <c r="J130" s="45"/>
      <c r="K130" s="45">
        <f>SUM(K120:K129)</f>
        <v>1460</v>
      </c>
      <c r="L130" s="45">
        <f>COUNTA(L120:L129)</f>
        <v>8</v>
      </c>
      <c r="M130" s="45"/>
      <c r="N130" s="45">
        <f>SUM(N120:N129)</f>
        <v>1460</v>
      </c>
      <c r="O130" s="45">
        <f>COUNTA(O120:O129)</f>
        <v>8</v>
      </c>
      <c r="P130" s="45"/>
      <c r="Q130" s="45">
        <f>SUM(Q120:Q129)</f>
        <v>1460</v>
      </c>
      <c r="R130" s="45">
        <f>COUNTA(R120:R129)</f>
        <v>8</v>
      </c>
      <c r="S130" s="45"/>
      <c r="T130" s="45">
        <f>SUM(T120:T129)</f>
        <v>1460</v>
      </c>
      <c r="U130" s="45">
        <f>COUNTA(U120:U129)</f>
        <v>8</v>
      </c>
      <c r="V130" s="45"/>
      <c r="W130" s="45">
        <f>SUM(W120:W129)</f>
        <v>1460</v>
      </c>
      <c r="X130" s="45">
        <f>COUNTA(X120:X129)</f>
        <v>8</v>
      </c>
      <c r="Y130" s="45"/>
      <c r="Z130" s="45">
        <f>SUM(Z120:Z129)</f>
        <v>1460</v>
      </c>
      <c r="AA130" s="45">
        <f>COUNTA(AA120:AA129)</f>
        <v>8</v>
      </c>
      <c r="AB130" s="45"/>
      <c r="AC130" s="45">
        <f>SUM(AC120:AC129)</f>
        <v>1460</v>
      </c>
      <c r="AD130" s="45">
        <f>COUNTA(AD120:AD129)</f>
        <v>8</v>
      </c>
      <c r="AE130" s="45"/>
      <c r="AF130" s="45">
        <f>SUM(AF120:AF129)</f>
        <v>1460</v>
      </c>
      <c r="AG130" s="45">
        <f>COUNTA(AG120:AG129)</f>
        <v>8</v>
      </c>
      <c r="AH130" s="45"/>
      <c r="AI130" s="45">
        <f>SUM(AI120:AI129)</f>
        <v>1460</v>
      </c>
      <c r="AJ130" s="45">
        <f>COUNTA(AJ120:AJ129)</f>
        <v>8</v>
      </c>
      <c r="AK130" s="45"/>
      <c r="AL130" s="45">
        <f>SUM(AL120:AL129)</f>
        <v>1460</v>
      </c>
      <c r="AM130" s="45">
        <f>COUNTA(AM120:AM129)</f>
        <v>8</v>
      </c>
      <c r="AN130" s="45"/>
      <c r="AO130" s="45">
        <f>SUM(AO120:AO129)</f>
        <v>1460</v>
      </c>
    </row>
  </sheetData>
  <mergeCells count="538">
    <mergeCell ref="AB73:AC73"/>
    <mergeCell ref="AE73:AF73"/>
    <mergeCell ref="AH73:AI73"/>
    <mergeCell ref="AK73:AL73"/>
    <mergeCell ref="AN73:AO73"/>
    <mergeCell ref="D73:E73"/>
    <mergeCell ref="G73:H73"/>
    <mergeCell ref="J73:K73"/>
    <mergeCell ref="M73:N73"/>
    <mergeCell ref="P73:Q73"/>
    <mergeCell ref="S73:T73"/>
    <mergeCell ref="V73:W73"/>
    <mergeCell ref="Y73:Z73"/>
    <mergeCell ref="AA3:AC3"/>
    <mergeCell ref="AD3:AF3"/>
    <mergeCell ref="AG3:AI3"/>
    <mergeCell ref="AJ3:AL3"/>
    <mergeCell ref="AM3:AO3"/>
    <mergeCell ref="AJ2:AL2"/>
    <mergeCell ref="AM2:AO2"/>
    <mergeCell ref="A3:B3"/>
    <mergeCell ref="C3:E3"/>
    <mergeCell ref="F3:H3"/>
    <mergeCell ref="I3:K3"/>
    <mergeCell ref="L3:N3"/>
    <mergeCell ref="O3:Q3"/>
    <mergeCell ref="R3:T3"/>
    <mergeCell ref="U3:W3"/>
    <mergeCell ref="R2:T2"/>
    <mergeCell ref="U2:W2"/>
    <mergeCell ref="X2:Z2"/>
    <mergeCell ref="AA2:AC2"/>
    <mergeCell ref="AD2:AF2"/>
    <mergeCell ref="AG2:AI2"/>
    <mergeCell ref="A2:B2"/>
    <mergeCell ref="C2:E2"/>
    <mergeCell ref="F2:H2"/>
    <mergeCell ref="I2:K2"/>
    <mergeCell ref="L2:N2"/>
    <mergeCell ref="O2:Q2"/>
    <mergeCell ref="X3:Z3"/>
    <mergeCell ref="AM5:AO5"/>
    <mergeCell ref="AJ4:AL4"/>
    <mergeCell ref="AM4:AO4"/>
    <mergeCell ref="A5:B5"/>
    <mergeCell ref="C5:E5"/>
    <mergeCell ref="F5:H5"/>
    <mergeCell ref="I5:K5"/>
    <mergeCell ref="L5:N5"/>
    <mergeCell ref="O5:Q5"/>
    <mergeCell ref="R5:T5"/>
    <mergeCell ref="U5:W5"/>
    <mergeCell ref="R4:T4"/>
    <mergeCell ref="U4:W4"/>
    <mergeCell ref="X4:Z4"/>
    <mergeCell ref="AA4:AC4"/>
    <mergeCell ref="AD4:AF4"/>
    <mergeCell ref="AG4:AI4"/>
    <mergeCell ref="A4:B4"/>
    <mergeCell ref="C4:E4"/>
    <mergeCell ref="F4:H4"/>
    <mergeCell ref="I4:K4"/>
    <mergeCell ref="L4:N4"/>
    <mergeCell ref="O4:Q4"/>
    <mergeCell ref="F6:H6"/>
    <mergeCell ref="I6:K6"/>
    <mergeCell ref="L6:N6"/>
    <mergeCell ref="O6:Q6"/>
    <mergeCell ref="X5:Z5"/>
    <mergeCell ref="AA5:AC5"/>
    <mergeCell ref="AD5:AF5"/>
    <mergeCell ref="AG5:AI5"/>
    <mergeCell ref="AJ5:AL5"/>
    <mergeCell ref="X8:Z8"/>
    <mergeCell ref="AA8:AC8"/>
    <mergeCell ref="AD8:AF8"/>
    <mergeCell ref="AG8:AI8"/>
    <mergeCell ref="AJ8:AL8"/>
    <mergeCell ref="AM8:AO8"/>
    <mergeCell ref="AJ6:AL6"/>
    <mergeCell ref="AM6:AO6"/>
    <mergeCell ref="X6:Z6"/>
    <mergeCell ref="AA6:AC6"/>
    <mergeCell ref="AD6:AF6"/>
    <mergeCell ref="AG6:AI6"/>
    <mergeCell ref="A8:B8"/>
    <mergeCell ref="C8:E8"/>
    <mergeCell ref="F8:H8"/>
    <mergeCell ref="I8:K8"/>
    <mergeCell ref="L8:N8"/>
    <mergeCell ref="O8:Q8"/>
    <mergeCell ref="R8:T8"/>
    <mergeCell ref="U8:W8"/>
    <mergeCell ref="R6:T6"/>
    <mergeCell ref="U6:W6"/>
    <mergeCell ref="A6:B6"/>
    <mergeCell ref="C6:E6"/>
    <mergeCell ref="AM11:AO11"/>
    <mergeCell ref="C20:E20"/>
    <mergeCell ref="F20:H20"/>
    <mergeCell ref="I20:K20"/>
    <mergeCell ref="L20:N20"/>
    <mergeCell ref="O20:Q20"/>
    <mergeCell ref="R20:T20"/>
    <mergeCell ref="U20:W20"/>
    <mergeCell ref="X20:Z20"/>
    <mergeCell ref="AA20:AC20"/>
    <mergeCell ref="U11:W11"/>
    <mergeCell ref="X11:Z11"/>
    <mergeCell ref="AA11:AC11"/>
    <mergeCell ref="AD11:AF11"/>
    <mergeCell ref="AG11:AI11"/>
    <mergeCell ref="AJ11:AL11"/>
    <mergeCell ref="C11:E11"/>
    <mergeCell ref="F11:H11"/>
    <mergeCell ref="I11:K11"/>
    <mergeCell ref="L11:N11"/>
    <mergeCell ref="O11:Q11"/>
    <mergeCell ref="R11:T11"/>
    <mergeCell ref="AD20:AF20"/>
    <mergeCell ref="AG20:AI20"/>
    <mergeCell ref="AJ20:AL20"/>
    <mergeCell ref="AM20:AO20"/>
    <mergeCell ref="A31:B31"/>
    <mergeCell ref="C31:E31"/>
    <mergeCell ref="F31:H31"/>
    <mergeCell ref="I31:K31"/>
    <mergeCell ref="L31:N31"/>
    <mergeCell ref="O31:Q31"/>
    <mergeCell ref="A32:B32"/>
    <mergeCell ref="C32:E32"/>
    <mergeCell ref="F32:H32"/>
    <mergeCell ref="I32:K32"/>
    <mergeCell ref="L32:N32"/>
    <mergeCell ref="O32:Q32"/>
    <mergeCell ref="R32:T32"/>
    <mergeCell ref="U32:W32"/>
    <mergeCell ref="R31:T31"/>
    <mergeCell ref="U31:W31"/>
    <mergeCell ref="O33:Q33"/>
    <mergeCell ref="X32:Z32"/>
    <mergeCell ref="AA32:AC32"/>
    <mergeCell ref="AD32:AF32"/>
    <mergeCell ref="AG32:AI32"/>
    <mergeCell ref="AJ32:AL32"/>
    <mergeCell ref="AM32:AO32"/>
    <mergeCell ref="AJ31:AL31"/>
    <mergeCell ref="AM31:AO31"/>
    <mergeCell ref="X31:Z31"/>
    <mergeCell ref="AA31:AC31"/>
    <mergeCell ref="AD31:AF31"/>
    <mergeCell ref="AG31:AI31"/>
    <mergeCell ref="AG34:AI34"/>
    <mergeCell ref="AJ34:AL34"/>
    <mergeCell ref="AM34:AO34"/>
    <mergeCell ref="AJ33:AL33"/>
    <mergeCell ref="AM33:AO33"/>
    <mergeCell ref="A34:B34"/>
    <mergeCell ref="C34:E34"/>
    <mergeCell ref="F34:H34"/>
    <mergeCell ref="I34:K34"/>
    <mergeCell ref="L34:N34"/>
    <mergeCell ref="O34:Q34"/>
    <mergeCell ref="R34:T34"/>
    <mergeCell ref="U34:W34"/>
    <mergeCell ref="R33:T33"/>
    <mergeCell ref="U33:W33"/>
    <mergeCell ref="X33:Z33"/>
    <mergeCell ref="AA33:AC33"/>
    <mergeCell ref="AD33:AF33"/>
    <mergeCell ref="AG33:AI33"/>
    <mergeCell ref="A33:B33"/>
    <mergeCell ref="C33:E33"/>
    <mergeCell ref="F33:H33"/>
    <mergeCell ref="I33:K33"/>
    <mergeCell ref="L33:N33"/>
    <mergeCell ref="A35:B35"/>
    <mergeCell ref="C35:E35"/>
    <mergeCell ref="F35:H35"/>
    <mergeCell ref="I35:K35"/>
    <mergeCell ref="L35:N35"/>
    <mergeCell ref="O35:Q35"/>
    <mergeCell ref="X34:Z34"/>
    <mergeCell ref="AA34:AC34"/>
    <mergeCell ref="AD34:AF34"/>
    <mergeCell ref="AA38:AC38"/>
    <mergeCell ref="AD38:AF38"/>
    <mergeCell ref="AG38:AI38"/>
    <mergeCell ref="AJ38:AL38"/>
    <mergeCell ref="AM38:AO38"/>
    <mergeCell ref="AJ35:AL35"/>
    <mergeCell ref="AM35:AO35"/>
    <mergeCell ref="R35:T35"/>
    <mergeCell ref="U35:W35"/>
    <mergeCell ref="X35:Z35"/>
    <mergeCell ref="AA35:AC35"/>
    <mergeCell ref="AD35:AF35"/>
    <mergeCell ref="AG35:AI35"/>
    <mergeCell ref="F38:H38"/>
    <mergeCell ref="C38:E38"/>
    <mergeCell ref="A45:B45"/>
    <mergeCell ref="C45:E45"/>
    <mergeCell ref="F45:H45"/>
    <mergeCell ref="I45:K45"/>
    <mergeCell ref="X38:Z38"/>
    <mergeCell ref="U38:W38"/>
    <mergeCell ref="R38:T38"/>
    <mergeCell ref="O38:Q38"/>
    <mergeCell ref="L38:N38"/>
    <mergeCell ref="I38:K38"/>
    <mergeCell ref="AD45:AF45"/>
    <mergeCell ref="AG45:AI45"/>
    <mergeCell ref="AJ45:AL45"/>
    <mergeCell ref="AM45:AO45"/>
    <mergeCell ref="A46:B46"/>
    <mergeCell ref="C46:E46"/>
    <mergeCell ref="F46:H46"/>
    <mergeCell ref="I46:K46"/>
    <mergeCell ref="L46:N46"/>
    <mergeCell ref="O46:Q46"/>
    <mergeCell ref="L45:N45"/>
    <mergeCell ref="O45:Q45"/>
    <mergeCell ref="R45:T45"/>
    <mergeCell ref="U45:W45"/>
    <mergeCell ref="X45:Z45"/>
    <mergeCell ref="AA45:AC45"/>
    <mergeCell ref="AM47:AO47"/>
    <mergeCell ref="AJ46:AL46"/>
    <mergeCell ref="AM46:AO46"/>
    <mergeCell ref="A47:B47"/>
    <mergeCell ref="C47:E47"/>
    <mergeCell ref="F47:H47"/>
    <mergeCell ref="I47:K47"/>
    <mergeCell ref="L47:N47"/>
    <mergeCell ref="O47:Q47"/>
    <mergeCell ref="R47:T47"/>
    <mergeCell ref="U47:W47"/>
    <mergeCell ref="R46:T46"/>
    <mergeCell ref="U46:W46"/>
    <mergeCell ref="X46:Z46"/>
    <mergeCell ref="AA46:AC46"/>
    <mergeCell ref="AD46:AF46"/>
    <mergeCell ref="AG46:AI46"/>
    <mergeCell ref="F48:H48"/>
    <mergeCell ref="I48:K48"/>
    <mergeCell ref="L48:N48"/>
    <mergeCell ref="O48:Q48"/>
    <mergeCell ref="X47:Z47"/>
    <mergeCell ref="AA47:AC47"/>
    <mergeCell ref="AD47:AF47"/>
    <mergeCell ref="AG47:AI47"/>
    <mergeCell ref="AJ47:AL47"/>
    <mergeCell ref="X49:Z49"/>
    <mergeCell ref="AA49:AC49"/>
    <mergeCell ref="AD49:AF49"/>
    <mergeCell ref="AG49:AI49"/>
    <mergeCell ref="AJ49:AL49"/>
    <mergeCell ref="AM49:AO49"/>
    <mergeCell ref="AJ48:AL48"/>
    <mergeCell ref="AM48:AO48"/>
    <mergeCell ref="A49:B49"/>
    <mergeCell ref="C49:E49"/>
    <mergeCell ref="F49:H49"/>
    <mergeCell ref="I49:K49"/>
    <mergeCell ref="L49:N49"/>
    <mergeCell ref="O49:Q49"/>
    <mergeCell ref="R49:T49"/>
    <mergeCell ref="U49:W49"/>
    <mergeCell ref="R48:T48"/>
    <mergeCell ref="U48:W48"/>
    <mergeCell ref="X48:Z48"/>
    <mergeCell ref="AA48:AC48"/>
    <mergeCell ref="AD48:AF48"/>
    <mergeCell ref="AG48:AI48"/>
    <mergeCell ref="A48:B48"/>
    <mergeCell ref="C48:E48"/>
    <mergeCell ref="AM52:AO52"/>
    <mergeCell ref="A75:B75"/>
    <mergeCell ref="C75:E75"/>
    <mergeCell ref="F75:H75"/>
    <mergeCell ref="I75:K75"/>
    <mergeCell ref="L75:N75"/>
    <mergeCell ref="O75:Q75"/>
    <mergeCell ref="R75:T75"/>
    <mergeCell ref="U75:W75"/>
    <mergeCell ref="X75:Z75"/>
    <mergeCell ref="U52:W52"/>
    <mergeCell ref="X52:Z52"/>
    <mergeCell ref="AA52:AC52"/>
    <mergeCell ref="AD52:AF52"/>
    <mergeCell ref="AG52:AI52"/>
    <mergeCell ref="AJ52:AL52"/>
    <mergeCell ref="C52:E52"/>
    <mergeCell ref="F52:H52"/>
    <mergeCell ref="I52:K52"/>
    <mergeCell ref="L52:N52"/>
    <mergeCell ref="O52:Q52"/>
    <mergeCell ref="R52:T52"/>
    <mergeCell ref="AA75:AC75"/>
    <mergeCell ref="AD75:AF75"/>
    <mergeCell ref="A76:B76"/>
    <mergeCell ref="C76:E76"/>
    <mergeCell ref="F76:H76"/>
    <mergeCell ref="I76:K76"/>
    <mergeCell ref="L76:N76"/>
    <mergeCell ref="AG76:AI76"/>
    <mergeCell ref="AJ76:AL76"/>
    <mergeCell ref="AM76:AO76"/>
    <mergeCell ref="U76:W76"/>
    <mergeCell ref="X76:Z76"/>
    <mergeCell ref="AA76:AC76"/>
    <mergeCell ref="AD76:AF76"/>
    <mergeCell ref="O77:Q77"/>
    <mergeCell ref="R77:T77"/>
    <mergeCell ref="O76:Q76"/>
    <mergeCell ref="R76:T76"/>
    <mergeCell ref="AG75:AI75"/>
    <mergeCell ref="AJ75:AL75"/>
    <mergeCell ref="AM75:AO75"/>
    <mergeCell ref="AM77:AO77"/>
    <mergeCell ref="U77:W77"/>
    <mergeCell ref="X77:Z77"/>
    <mergeCell ref="AA77:AC77"/>
    <mergeCell ref="AD77:AF77"/>
    <mergeCell ref="AG77:AI77"/>
    <mergeCell ref="AJ77:AL77"/>
    <mergeCell ref="AA78:AC78"/>
    <mergeCell ref="AD78:AF78"/>
    <mergeCell ref="AG78:AI78"/>
    <mergeCell ref="AJ78:AL78"/>
    <mergeCell ref="AM78:AO78"/>
    <mergeCell ref="A77:B77"/>
    <mergeCell ref="C77:E77"/>
    <mergeCell ref="F77:H77"/>
    <mergeCell ref="A79:B79"/>
    <mergeCell ref="C79:E79"/>
    <mergeCell ref="F79:H79"/>
    <mergeCell ref="I79:K79"/>
    <mergeCell ref="L79:N79"/>
    <mergeCell ref="A78:B78"/>
    <mergeCell ref="C78:E78"/>
    <mergeCell ref="F78:H78"/>
    <mergeCell ref="I78:K78"/>
    <mergeCell ref="L78:N78"/>
    <mergeCell ref="O78:Q78"/>
    <mergeCell ref="R78:T78"/>
    <mergeCell ref="U78:W78"/>
    <mergeCell ref="X78:Z78"/>
    <mergeCell ref="I77:K77"/>
    <mergeCell ref="L77:N77"/>
    <mergeCell ref="C82:E82"/>
    <mergeCell ref="F82:H82"/>
    <mergeCell ref="I82:K82"/>
    <mergeCell ref="L82:N82"/>
    <mergeCell ref="O82:Q82"/>
    <mergeCell ref="R82:T82"/>
    <mergeCell ref="U82:W82"/>
    <mergeCell ref="O79:Q79"/>
    <mergeCell ref="R79:T79"/>
    <mergeCell ref="U79:W79"/>
    <mergeCell ref="X82:Z82"/>
    <mergeCell ref="AA82:AC82"/>
    <mergeCell ref="AD82:AF82"/>
    <mergeCell ref="AG82:AI82"/>
    <mergeCell ref="AJ82:AL82"/>
    <mergeCell ref="AM82:AO82"/>
    <mergeCell ref="AG79:AI79"/>
    <mergeCell ref="AJ79:AL79"/>
    <mergeCell ref="AM79:AO79"/>
    <mergeCell ref="X79:Z79"/>
    <mergeCell ref="AA79:AC79"/>
    <mergeCell ref="AD79:AF79"/>
    <mergeCell ref="A93:B93"/>
    <mergeCell ref="C93:E93"/>
    <mergeCell ref="F93:H93"/>
    <mergeCell ref="I93:K93"/>
    <mergeCell ref="L93:N93"/>
    <mergeCell ref="O93:Q93"/>
    <mergeCell ref="R93:T93"/>
    <mergeCell ref="U93:W93"/>
    <mergeCell ref="R92:T92"/>
    <mergeCell ref="U92:W92"/>
    <mergeCell ref="A92:B92"/>
    <mergeCell ref="C92:E92"/>
    <mergeCell ref="F92:H92"/>
    <mergeCell ref="I92:K92"/>
    <mergeCell ref="L92:N92"/>
    <mergeCell ref="O92:Q92"/>
    <mergeCell ref="O94:Q94"/>
    <mergeCell ref="X93:Z93"/>
    <mergeCell ref="AA93:AC93"/>
    <mergeCell ref="AD93:AF93"/>
    <mergeCell ref="AG93:AI93"/>
    <mergeCell ref="AJ93:AL93"/>
    <mergeCell ref="AM93:AO93"/>
    <mergeCell ref="AJ92:AL92"/>
    <mergeCell ref="AM92:AO92"/>
    <mergeCell ref="X92:Z92"/>
    <mergeCell ref="AA92:AC92"/>
    <mergeCell ref="AD92:AF92"/>
    <mergeCell ref="AG92:AI92"/>
    <mergeCell ref="AG95:AI95"/>
    <mergeCell ref="AJ95:AL95"/>
    <mergeCell ref="AM95:AO95"/>
    <mergeCell ref="AJ94:AL94"/>
    <mergeCell ref="AM94:AO94"/>
    <mergeCell ref="A95:B95"/>
    <mergeCell ref="C95:E95"/>
    <mergeCell ref="F95:H95"/>
    <mergeCell ref="I95:K95"/>
    <mergeCell ref="L95:N95"/>
    <mergeCell ref="O95:Q95"/>
    <mergeCell ref="R95:T95"/>
    <mergeCell ref="U95:W95"/>
    <mergeCell ref="R94:T94"/>
    <mergeCell ref="U94:W94"/>
    <mergeCell ref="X94:Z94"/>
    <mergeCell ref="AA94:AC94"/>
    <mergeCell ref="AD94:AF94"/>
    <mergeCell ref="AG94:AI94"/>
    <mergeCell ref="A94:B94"/>
    <mergeCell ref="C94:E94"/>
    <mergeCell ref="F94:H94"/>
    <mergeCell ref="I94:K94"/>
    <mergeCell ref="L94:N94"/>
    <mergeCell ref="A96:B96"/>
    <mergeCell ref="C96:E96"/>
    <mergeCell ref="F96:H96"/>
    <mergeCell ref="I96:K96"/>
    <mergeCell ref="L96:N96"/>
    <mergeCell ref="O96:Q96"/>
    <mergeCell ref="X95:Z95"/>
    <mergeCell ref="AA95:AC95"/>
    <mergeCell ref="AD95:AF95"/>
    <mergeCell ref="AJ96:AL96"/>
    <mergeCell ref="AM96:AO96"/>
    <mergeCell ref="C99:E99"/>
    <mergeCell ref="F99:H99"/>
    <mergeCell ref="I99:K99"/>
    <mergeCell ref="L99:N99"/>
    <mergeCell ref="O99:Q99"/>
    <mergeCell ref="R99:T99"/>
    <mergeCell ref="U99:W99"/>
    <mergeCell ref="X99:Z99"/>
    <mergeCell ref="R96:T96"/>
    <mergeCell ref="U96:W96"/>
    <mergeCell ref="X96:Z96"/>
    <mergeCell ref="AA96:AC96"/>
    <mergeCell ref="AD96:AF96"/>
    <mergeCell ref="AG96:AI96"/>
    <mergeCell ref="AA99:AC99"/>
    <mergeCell ref="AD99:AF99"/>
    <mergeCell ref="AG99:AI99"/>
    <mergeCell ref="AJ99:AL99"/>
    <mergeCell ref="AM99:AO99"/>
    <mergeCell ref="A112:B112"/>
    <mergeCell ref="C112:E112"/>
    <mergeCell ref="F112:H112"/>
    <mergeCell ref="I112:K112"/>
    <mergeCell ref="L112:N112"/>
    <mergeCell ref="AG112:AI112"/>
    <mergeCell ref="AJ112:AL112"/>
    <mergeCell ref="AM112:AO112"/>
    <mergeCell ref="A113:B113"/>
    <mergeCell ref="C113:E113"/>
    <mergeCell ref="F113:H113"/>
    <mergeCell ref="I113:K113"/>
    <mergeCell ref="L113:N113"/>
    <mergeCell ref="O113:Q113"/>
    <mergeCell ref="R113:T113"/>
    <mergeCell ref="O112:Q112"/>
    <mergeCell ref="R112:T112"/>
    <mergeCell ref="U112:W112"/>
    <mergeCell ref="X112:Z112"/>
    <mergeCell ref="AA112:AC112"/>
    <mergeCell ref="AD112:AF112"/>
    <mergeCell ref="AM113:AO113"/>
    <mergeCell ref="U113:W113"/>
    <mergeCell ref="X113:Z113"/>
    <mergeCell ref="A114:B114"/>
    <mergeCell ref="C114:E114"/>
    <mergeCell ref="F114:H114"/>
    <mergeCell ref="I114:K114"/>
    <mergeCell ref="L114:N114"/>
    <mergeCell ref="O114:Q114"/>
    <mergeCell ref="R114:T114"/>
    <mergeCell ref="U114:W114"/>
    <mergeCell ref="X114:Z114"/>
    <mergeCell ref="AA113:AC113"/>
    <mergeCell ref="AD113:AF113"/>
    <mergeCell ref="AG113:AI113"/>
    <mergeCell ref="AJ113:AL113"/>
    <mergeCell ref="AA114:AC114"/>
    <mergeCell ref="AD114:AF114"/>
    <mergeCell ref="AG114:AI114"/>
    <mergeCell ref="AJ114:AL114"/>
    <mergeCell ref="AM114:AO114"/>
    <mergeCell ref="A115:B115"/>
    <mergeCell ref="C115:E115"/>
    <mergeCell ref="F115:H115"/>
    <mergeCell ref="I115:K115"/>
    <mergeCell ref="L115:N115"/>
    <mergeCell ref="AG115:AI115"/>
    <mergeCell ref="AJ115:AL115"/>
    <mergeCell ref="AM115:AO115"/>
    <mergeCell ref="A116:B116"/>
    <mergeCell ref="C116:E116"/>
    <mergeCell ref="F116:H116"/>
    <mergeCell ref="I116:K116"/>
    <mergeCell ref="L116:N116"/>
    <mergeCell ref="O116:Q116"/>
    <mergeCell ref="R116:T116"/>
    <mergeCell ref="O115:Q115"/>
    <mergeCell ref="R115:T115"/>
    <mergeCell ref="U115:W115"/>
    <mergeCell ref="X115:Z115"/>
    <mergeCell ref="AA115:AC115"/>
    <mergeCell ref="AD115:AF115"/>
    <mergeCell ref="AD119:AF119"/>
    <mergeCell ref="AG119:AI119"/>
    <mergeCell ref="AJ119:AL119"/>
    <mergeCell ref="AM119:AO119"/>
    <mergeCell ref="AM116:AO116"/>
    <mergeCell ref="C119:E119"/>
    <mergeCell ref="F119:H119"/>
    <mergeCell ref="I119:K119"/>
    <mergeCell ref="L119:N119"/>
    <mergeCell ref="O119:Q119"/>
    <mergeCell ref="R119:T119"/>
    <mergeCell ref="U119:W119"/>
    <mergeCell ref="X119:Z119"/>
    <mergeCell ref="AA119:AC119"/>
    <mergeCell ref="U116:W116"/>
    <mergeCell ref="X116:Z116"/>
    <mergeCell ref="AA116:AC116"/>
    <mergeCell ref="AD116:AF116"/>
    <mergeCell ref="AG116:AI116"/>
    <mergeCell ref="AJ116:AL116"/>
  </mergeCells>
  <phoneticPr fontId="2"/>
  <pageMargins left="0.25" right="0.25" top="0.75" bottom="0.75" header="0.3" footer="0.3"/>
  <pageSetup paperSize="8" scale="6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48A2-1251-48D0-B761-18206A118352}">
  <sheetPr>
    <pageSetUpPr fitToPage="1"/>
  </sheetPr>
  <dimension ref="A1:CP35"/>
  <sheetViews>
    <sheetView zoomScale="80" zoomScaleNormal="80" workbookViewId="0">
      <selection activeCell="AE31" sqref="AE31"/>
    </sheetView>
  </sheetViews>
  <sheetFormatPr defaultRowHeight="18" x14ac:dyDescent="0.55000000000000004"/>
  <cols>
    <col min="1" max="2" width="4.58203125" customWidth="1"/>
    <col min="3" max="3" width="3.58203125" hidden="1" customWidth="1"/>
    <col min="4" max="4" width="5.75" hidden="1" customWidth="1"/>
    <col min="5" max="5" width="3.58203125" hidden="1" customWidth="1"/>
    <col min="6" max="6" width="5.25" hidden="1" customWidth="1"/>
    <col min="7" max="7" width="10.83203125" style="1" hidden="1" customWidth="1"/>
    <col min="8" max="10" width="3.58203125" style="1" hidden="1" customWidth="1"/>
    <col min="11" max="11" width="5.33203125" style="1" hidden="1" customWidth="1"/>
    <col min="12" max="22" width="3.58203125" hidden="1" customWidth="1"/>
    <col min="23" max="67" width="4.58203125" customWidth="1"/>
    <col min="68" max="68" width="35.4140625" customWidth="1"/>
  </cols>
  <sheetData>
    <row r="1" spans="1:67" ht="19.5" customHeight="1" x14ac:dyDescent="0.55000000000000004">
      <c r="A1" s="43" t="s">
        <v>394</v>
      </c>
      <c r="B1" s="75"/>
      <c r="C1" s="75"/>
      <c r="D1" s="76"/>
      <c r="E1" s="76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67" x14ac:dyDescent="0.55000000000000004">
      <c r="A2" s="283" t="s">
        <v>22</v>
      </c>
      <c r="B2" s="283"/>
      <c r="C2" s="262" t="s">
        <v>4</v>
      </c>
      <c r="D2" s="284"/>
      <c r="E2" s="284"/>
      <c r="F2" s="284"/>
      <c r="G2" s="263"/>
      <c r="H2" s="262" t="s">
        <v>5</v>
      </c>
      <c r="I2" s="284"/>
      <c r="J2" s="284"/>
      <c r="K2" s="284"/>
      <c r="L2" s="263"/>
      <c r="M2" s="262" t="s">
        <v>6</v>
      </c>
      <c r="N2" s="284"/>
      <c r="O2" s="284"/>
      <c r="P2" s="284"/>
      <c r="Q2" s="263"/>
      <c r="R2" s="262" t="s">
        <v>7</v>
      </c>
      <c r="S2" s="284"/>
      <c r="T2" s="284"/>
      <c r="U2" s="284"/>
      <c r="V2" s="263"/>
      <c r="W2" s="262" t="s">
        <v>8</v>
      </c>
      <c r="X2" s="284"/>
      <c r="Y2" s="284"/>
      <c r="Z2" s="284"/>
      <c r="AA2" s="263"/>
      <c r="AB2" s="262" t="s">
        <v>10</v>
      </c>
      <c r="AC2" s="284"/>
      <c r="AD2" s="284"/>
      <c r="AE2" s="284"/>
      <c r="AF2" s="263"/>
      <c r="AG2" s="262" t="s">
        <v>11</v>
      </c>
      <c r="AH2" s="284"/>
      <c r="AI2" s="284"/>
      <c r="AJ2" s="284"/>
      <c r="AK2" s="263"/>
      <c r="AL2" s="262" t="s">
        <v>12</v>
      </c>
      <c r="AM2" s="284"/>
      <c r="AN2" s="284"/>
      <c r="AO2" s="284"/>
      <c r="AP2" s="263"/>
      <c r="AQ2" s="262" t="s">
        <v>13</v>
      </c>
      <c r="AR2" s="284"/>
      <c r="AS2" s="284"/>
      <c r="AT2" s="284"/>
      <c r="AU2" s="263"/>
      <c r="AV2" s="262" t="s">
        <v>14</v>
      </c>
      <c r="AW2" s="284"/>
      <c r="AX2" s="284"/>
      <c r="AY2" s="284"/>
      <c r="AZ2" s="263"/>
      <c r="BA2" s="262" t="s">
        <v>15</v>
      </c>
      <c r="BB2" s="284"/>
      <c r="BC2" s="284"/>
      <c r="BD2" s="284"/>
      <c r="BE2" s="263"/>
      <c r="BF2" s="262" t="s">
        <v>16</v>
      </c>
      <c r="BG2" s="284"/>
      <c r="BH2" s="284"/>
      <c r="BI2" s="284"/>
      <c r="BJ2" s="263"/>
      <c r="BK2" s="262" t="s">
        <v>4</v>
      </c>
      <c r="BL2" s="284"/>
      <c r="BM2" s="284"/>
      <c r="BN2" s="284"/>
      <c r="BO2" s="263"/>
    </row>
    <row r="3" spans="1:67" ht="18.5" thickBot="1" x14ac:dyDescent="0.6">
      <c r="A3" s="255" t="s">
        <v>153</v>
      </c>
      <c r="B3" s="255"/>
      <c r="C3" s="264">
        <v>13</v>
      </c>
      <c r="D3" s="282"/>
      <c r="E3" s="282"/>
      <c r="F3" s="282"/>
      <c r="G3" s="265"/>
      <c r="H3" s="264">
        <v>13</v>
      </c>
      <c r="I3" s="282"/>
      <c r="J3" s="282"/>
      <c r="K3" s="282"/>
      <c r="L3" s="265"/>
      <c r="M3" s="264">
        <v>13</v>
      </c>
      <c r="N3" s="282"/>
      <c r="O3" s="282"/>
      <c r="P3" s="282"/>
      <c r="Q3" s="265"/>
      <c r="R3" s="264">
        <v>13</v>
      </c>
      <c r="S3" s="282"/>
      <c r="T3" s="282"/>
      <c r="U3" s="282"/>
      <c r="V3" s="265"/>
      <c r="W3" s="295">
        <v>17</v>
      </c>
      <c r="X3" s="296"/>
      <c r="Y3" s="296"/>
      <c r="Z3" s="296"/>
      <c r="AA3" s="297"/>
      <c r="AB3" s="295">
        <v>18</v>
      </c>
      <c r="AC3" s="296"/>
      <c r="AD3" s="296"/>
      <c r="AE3" s="296"/>
      <c r="AF3" s="297"/>
      <c r="AG3" s="295">
        <v>17</v>
      </c>
      <c r="AH3" s="296"/>
      <c r="AI3" s="296"/>
      <c r="AJ3" s="296"/>
      <c r="AK3" s="297"/>
      <c r="AL3" s="295">
        <v>17</v>
      </c>
      <c r="AM3" s="296"/>
      <c r="AN3" s="296"/>
      <c r="AO3" s="296"/>
      <c r="AP3" s="297"/>
      <c r="AQ3" s="295">
        <v>18</v>
      </c>
      <c r="AR3" s="296"/>
      <c r="AS3" s="296"/>
      <c r="AT3" s="296"/>
      <c r="AU3" s="297"/>
      <c r="AV3" s="295">
        <v>17</v>
      </c>
      <c r="AW3" s="296"/>
      <c r="AX3" s="296"/>
      <c r="AY3" s="296"/>
      <c r="AZ3" s="297"/>
      <c r="BA3" s="295">
        <v>17</v>
      </c>
      <c r="BB3" s="296"/>
      <c r="BC3" s="296"/>
      <c r="BD3" s="296"/>
      <c r="BE3" s="297"/>
      <c r="BF3" s="295">
        <v>18</v>
      </c>
      <c r="BG3" s="296"/>
      <c r="BH3" s="296"/>
      <c r="BI3" s="296"/>
      <c r="BJ3" s="297"/>
      <c r="BK3" s="295">
        <v>18</v>
      </c>
      <c r="BL3" s="296"/>
      <c r="BM3" s="296"/>
      <c r="BN3" s="296"/>
      <c r="BO3" s="297"/>
    </row>
    <row r="4" spans="1:67" ht="18.5" thickBot="1" x14ac:dyDescent="0.6">
      <c r="A4" s="256" t="s">
        <v>31</v>
      </c>
      <c r="B4" s="257"/>
      <c r="C4" s="266">
        <f>C35</f>
        <v>11</v>
      </c>
      <c r="D4" s="275"/>
      <c r="E4" s="275"/>
      <c r="F4" s="275"/>
      <c r="G4" s="267"/>
      <c r="H4" s="266">
        <f>H35</f>
        <v>12</v>
      </c>
      <c r="I4" s="275"/>
      <c r="J4" s="275"/>
      <c r="K4" s="275"/>
      <c r="L4" s="267"/>
      <c r="M4" s="266">
        <f>M35</f>
        <v>12</v>
      </c>
      <c r="N4" s="275"/>
      <c r="O4" s="275"/>
      <c r="P4" s="275"/>
      <c r="Q4" s="267"/>
      <c r="R4" s="266">
        <f>R35</f>
        <v>12</v>
      </c>
      <c r="S4" s="275"/>
      <c r="T4" s="275"/>
      <c r="U4" s="275"/>
      <c r="V4" s="267"/>
      <c r="W4" s="298">
        <f>W35</f>
        <v>15</v>
      </c>
      <c r="X4" s="299"/>
      <c r="Y4" s="299"/>
      <c r="Z4" s="299"/>
      <c r="AA4" s="300"/>
      <c r="AB4" s="298">
        <f>AB35</f>
        <v>16</v>
      </c>
      <c r="AC4" s="299"/>
      <c r="AD4" s="299"/>
      <c r="AE4" s="299"/>
      <c r="AF4" s="300"/>
      <c r="AG4" s="298">
        <f>AG35</f>
        <v>16</v>
      </c>
      <c r="AH4" s="299"/>
      <c r="AI4" s="299"/>
      <c r="AJ4" s="299"/>
      <c r="AK4" s="300"/>
      <c r="AL4" s="298">
        <f>AL35</f>
        <v>16</v>
      </c>
      <c r="AM4" s="299"/>
      <c r="AN4" s="299"/>
      <c r="AO4" s="299"/>
      <c r="AP4" s="300"/>
      <c r="AQ4" s="298">
        <f>AQ35</f>
        <v>16</v>
      </c>
      <c r="AR4" s="299"/>
      <c r="AS4" s="299"/>
      <c r="AT4" s="299"/>
      <c r="AU4" s="300"/>
      <c r="AV4" s="298">
        <f>AV35</f>
        <v>15</v>
      </c>
      <c r="AW4" s="299"/>
      <c r="AX4" s="299"/>
      <c r="AY4" s="299"/>
      <c r="AZ4" s="300"/>
      <c r="BA4" s="298">
        <f>BA35</f>
        <v>15</v>
      </c>
      <c r="BB4" s="299"/>
      <c r="BC4" s="299"/>
      <c r="BD4" s="299"/>
      <c r="BE4" s="300"/>
      <c r="BF4" s="298">
        <f>BF35</f>
        <v>15</v>
      </c>
      <c r="BG4" s="299"/>
      <c r="BH4" s="299"/>
      <c r="BI4" s="299"/>
      <c r="BJ4" s="300"/>
      <c r="BK4" s="298">
        <f>BK35</f>
        <v>15</v>
      </c>
      <c r="BL4" s="299"/>
      <c r="BM4" s="299"/>
      <c r="BN4" s="299"/>
      <c r="BO4" s="301"/>
    </row>
    <row r="5" spans="1:67" x14ac:dyDescent="0.55000000000000004">
      <c r="A5" s="258" t="s">
        <v>169</v>
      </c>
      <c r="B5" s="258"/>
      <c r="C5" s="277">
        <f>C4-C3</f>
        <v>-2</v>
      </c>
      <c r="D5" s="281"/>
      <c r="E5" s="281"/>
      <c r="F5" s="281"/>
      <c r="G5" s="278"/>
      <c r="H5" s="277">
        <f>H4-H3</f>
        <v>-1</v>
      </c>
      <c r="I5" s="281"/>
      <c r="J5" s="281"/>
      <c r="K5" s="281"/>
      <c r="L5" s="278"/>
      <c r="M5" s="277">
        <f>M4-M3</f>
        <v>-1</v>
      </c>
      <c r="N5" s="281"/>
      <c r="O5" s="281"/>
      <c r="P5" s="281"/>
      <c r="Q5" s="278"/>
      <c r="R5" s="277">
        <f>R4-R3</f>
        <v>-1</v>
      </c>
      <c r="S5" s="281"/>
      <c r="T5" s="281"/>
      <c r="U5" s="281"/>
      <c r="V5" s="278"/>
      <c r="W5" s="277">
        <f>W4-W3</f>
        <v>-2</v>
      </c>
      <c r="X5" s="281"/>
      <c r="Y5" s="281"/>
      <c r="Z5" s="281"/>
      <c r="AA5" s="278"/>
      <c r="AB5" s="277">
        <f>AB4-AB3</f>
        <v>-2</v>
      </c>
      <c r="AC5" s="281"/>
      <c r="AD5" s="281"/>
      <c r="AE5" s="281"/>
      <c r="AF5" s="278"/>
      <c r="AG5" s="277">
        <f>AG4-AG3</f>
        <v>-1</v>
      </c>
      <c r="AH5" s="281"/>
      <c r="AI5" s="281"/>
      <c r="AJ5" s="281"/>
      <c r="AK5" s="278"/>
      <c r="AL5" s="277">
        <f>AL4-AL3</f>
        <v>-1</v>
      </c>
      <c r="AM5" s="281"/>
      <c r="AN5" s="281"/>
      <c r="AO5" s="281"/>
      <c r="AP5" s="278"/>
      <c r="AQ5" s="277">
        <f>AQ4-AQ3</f>
        <v>-2</v>
      </c>
      <c r="AR5" s="281"/>
      <c r="AS5" s="281"/>
      <c r="AT5" s="281"/>
      <c r="AU5" s="278"/>
      <c r="AV5" s="277">
        <f>AV4-AV3</f>
        <v>-2</v>
      </c>
      <c r="AW5" s="281"/>
      <c r="AX5" s="281"/>
      <c r="AY5" s="281"/>
      <c r="AZ5" s="278"/>
      <c r="BA5" s="277">
        <f>BA4-BA3</f>
        <v>-2</v>
      </c>
      <c r="BB5" s="281"/>
      <c r="BC5" s="281"/>
      <c r="BD5" s="281"/>
      <c r="BE5" s="278"/>
      <c r="BF5" s="277">
        <f>BF4-BF3</f>
        <v>-3</v>
      </c>
      <c r="BG5" s="281"/>
      <c r="BH5" s="281"/>
      <c r="BI5" s="281"/>
      <c r="BJ5" s="278"/>
      <c r="BK5" s="277">
        <f>BK4-BK3</f>
        <v>-3</v>
      </c>
      <c r="BL5" s="281"/>
      <c r="BM5" s="281"/>
      <c r="BN5" s="281"/>
      <c r="BO5" s="278"/>
    </row>
    <row r="6" spans="1:67" x14ac:dyDescent="0.55000000000000004">
      <c r="C6" s="54"/>
      <c r="D6" s="54"/>
      <c r="E6" s="54"/>
      <c r="F6" s="54"/>
      <c r="R6" s="53"/>
      <c r="S6" s="53"/>
      <c r="T6" s="53"/>
      <c r="U6" s="53"/>
      <c r="V6" s="52"/>
      <c r="W6" s="54"/>
      <c r="X6" s="54"/>
      <c r="Y6" s="54"/>
      <c r="Z6" s="54"/>
    </row>
    <row r="7" spans="1:67" x14ac:dyDescent="0.55000000000000004">
      <c r="A7" s="259" t="s">
        <v>388</v>
      </c>
      <c r="B7" s="259"/>
      <c r="C7" s="288">
        <f>F35</f>
        <v>1186</v>
      </c>
      <c r="D7" s="289"/>
      <c r="E7" s="289"/>
      <c r="F7" s="289"/>
      <c r="G7" s="290"/>
      <c r="H7" s="288">
        <f>K35</f>
        <v>1200</v>
      </c>
      <c r="I7" s="289"/>
      <c r="J7" s="289"/>
      <c r="K7" s="289"/>
      <c r="L7" s="290"/>
      <c r="M7" s="288">
        <v>1279</v>
      </c>
      <c r="N7" s="289"/>
      <c r="O7" s="289"/>
      <c r="P7" s="289"/>
      <c r="Q7" s="290"/>
      <c r="R7" s="288" t="e">
        <f>#REF!</f>
        <v>#REF!</v>
      </c>
      <c r="S7" s="289"/>
      <c r="T7" s="289"/>
      <c r="U7" s="289"/>
      <c r="V7" s="290"/>
      <c r="W7" s="288">
        <f>Z35</f>
        <v>1444</v>
      </c>
      <c r="X7" s="289"/>
      <c r="Y7" s="289"/>
      <c r="Z7" s="289"/>
      <c r="AA7" s="290"/>
      <c r="AB7" s="288">
        <f>AE35</f>
        <v>1614</v>
      </c>
      <c r="AC7" s="289"/>
      <c r="AD7" s="289"/>
      <c r="AE7" s="289"/>
      <c r="AF7" s="290"/>
      <c r="AG7" s="288">
        <f>AJ35</f>
        <v>1662</v>
      </c>
      <c r="AH7" s="289"/>
      <c r="AI7" s="289"/>
      <c r="AJ7" s="289"/>
      <c r="AK7" s="290"/>
      <c r="AL7" s="288">
        <f>AO35</f>
        <v>1682</v>
      </c>
      <c r="AM7" s="289"/>
      <c r="AN7" s="289"/>
      <c r="AO7" s="289"/>
      <c r="AP7" s="290"/>
      <c r="AQ7" s="288">
        <f>AT35</f>
        <v>1700</v>
      </c>
      <c r="AR7" s="289"/>
      <c r="AS7" s="289"/>
      <c r="AT7" s="289"/>
      <c r="AU7" s="290"/>
      <c r="AV7" s="288">
        <f>AY35</f>
        <v>1510</v>
      </c>
      <c r="AW7" s="289"/>
      <c r="AX7" s="289"/>
      <c r="AY7" s="289"/>
      <c r="AZ7" s="290"/>
      <c r="BA7" s="288">
        <f>BD35</f>
        <v>1610</v>
      </c>
      <c r="BB7" s="289"/>
      <c r="BC7" s="289"/>
      <c r="BD7" s="289"/>
      <c r="BE7" s="290"/>
      <c r="BF7" s="288">
        <f>BI35</f>
        <v>1635</v>
      </c>
      <c r="BG7" s="289"/>
      <c r="BH7" s="289"/>
      <c r="BI7" s="289"/>
      <c r="BJ7" s="290"/>
      <c r="BK7" s="288">
        <f>BN35</f>
        <v>1651</v>
      </c>
      <c r="BL7" s="289"/>
      <c r="BM7" s="289"/>
      <c r="BN7" s="289"/>
      <c r="BO7" s="290"/>
    </row>
    <row r="8" spans="1:67" x14ac:dyDescent="0.55000000000000004">
      <c r="A8" s="258" t="s">
        <v>169</v>
      </c>
      <c r="B8" s="258"/>
      <c r="C8" s="277">
        <f>C7-C6</f>
        <v>1186</v>
      </c>
      <c r="D8" s="281"/>
      <c r="E8" s="281"/>
      <c r="F8" s="281"/>
      <c r="G8" s="278"/>
      <c r="H8" s="277">
        <f>H7-H6</f>
        <v>1200</v>
      </c>
      <c r="I8" s="281"/>
      <c r="J8" s="281"/>
      <c r="K8" s="281"/>
      <c r="L8" s="278"/>
      <c r="M8" s="277">
        <f>M7-M6</f>
        <v>1279</v>
      </c>
      <c r="N8" s="281"/>
      <c r="O8" s="281"/>
      <c r="P8" s="281"/>
      <c r="Q8" s="278"/>
      <c r="R8" s="277" t="e">
        <f>R7-R6</f>
        <v>#REF!</v>
      </c>
      <c r="S8" s="281"/>
      <c r="T8" s="281"/>
      <c r="U8" s="281"/>
      <c r="V8" s="278"/>
      <c r="W8" s="277"/>
      <c r="X8" s="281"/>
      <c r="Y8" s="281"/>
      <c r="Z8" s="281"/>
      <c r="AA8" s="278"/>
      <c r="AB8" s="277"/>
      <c r="AC8" s="281"/>
      <c r="AD8" s="281"/>
      <c r="AE8" s="281"/>
      <c r="AF8" s="278"/>
      <c r="AG8" s="277"/>
      <c r="AH8" s="281"/>
      <c r="AI8" s="281"/>
      <c r="AJ8" s="281"/>
      <c r="AK8" s="278"/>
      <c r="AL8" s="277"/>
      <c r="AM8" s="281"/>
      <c r="AN8" s="281"/>
      <c r="AO8" s="281"/>
      <c r="AP8" s="278"/>
      <c r="AQ8" s="277"/>
      <c r="AR8" s="281"/>
      <c r="AS8" s="281"/>
      <c r="AT8" s="281"/>
      <c r="AU8" s="278"/>
      <c r="AV8" s="277"/>
      <c r="AW8" s="281"/>
      <c r="AX8" s="281"/>
      <c r="AY8" s="281"/>
      <c r="AZ8" s="278"/>
      <c r="BA8" s="277"/>
      <c r="BB8" s="281"/>
      <c r="BC8" s="281"/>
      <c r="BD8" s="281"/>
      <c r="BE8" s="278"/>
      <c r="BF8" s="277"/>
      <c r="BG8" s="281"/>
      <c r="BH8" s="281"/>
      <c r="BI8" s="281"/>
      <c r="BJ8" s="278"/>
      <c r="BK8" s="277"/>
      <c r="BL8" s="281"/>
      <c r="BM8" s="281"/>
      <c r="BN8" s="281"/>
      <c r="BO8" s="278"/>
    </row>
    <row r="9" spans="1:67" x14ac:dyDescent="0.55000000000000004">
      <c r="C9" s="54"/>
      <c r="D9" s="54"/>
      <c r="E9" s="54"/>
      <c r="F9" s="54"/>
      <c r="R9" s="53"/>
      <c r="S9" s="53"/>
      <c r="T9" s="53"/>
      <c r="U9" s="53"/>
      <c r="V9" s="52"/>
      <c r="W9" s="54"/>
      <c r="X9" s="54"/>
      <c r="Y9" s="54"/>
      <c r="Z9" s="54"/>
    </row>
    <row r="10" spans="1:67" x14ac:dyDescent="0.55000000000000004">
      <c r="A10" s="259" t="s">
        <v>398</v>
      </c>
      <c r="B10" s="259"/>
      <c r="C10" s="54"/>
      <c r="D10" s="54"/>
      <c r="E10" s="54"/>
      <c r="F10" s="54"/>
      <c r="R10" s="53"/>
      <c r="S10" s="53"/>
      <c r="T10" s="53"/>
      <c r="U10" s="53"/>
      <c r="V10" s="52"/>
      <c r="W10" s="288"/>
      <c r="X10" s="289"/>
      <c r="Y10" s="289"/>
      <c r="Z10" s="289"/>
      <c r="AA10" s="290"/>
      <c r="AB10" s="288"/>
      <c r="AC10" s="289"/>
      <c r="AD10" s="289"/>
      <c r="AE10" s="289"/>
      <c r="AF10" s="290"/>
      <c r="AG10" s="288"/>
      <c r="AH10" s="289"/>
      <c r="AI10" s="289"/>
      <c r="AJ10" s="289"/>
      <c r="AK10" s="290"/>
      <c r="AL10" s="288"/>
      <c r="AM10" s="289"/>
      <c r="AN10" s="289"/>
      <c r="AO10" s="289"/>
      <c r="AP10" s="290"/>
      <c r="AQ10" s="288"/>
      <c r="AR10" s="289"/>
      <c r="AS10" s="289"/>
      <c r="AT10" s="289"/>
      <c r="AU10" s="290"/>
      <c r="AV10" s="288"/>
      <c r="AW10" s="289"/>
      <c r="AX10" s="289"/>
      <c r="AY10" s="289"/>
      <c r="AZ10" s="290"/>
      <c r="BA10" s="288"/>
      <c r="BB10" s="289"/>
      <c r="BC10" s="289"/>
      <c r="BD10" s="289"/>
      <c r="BE10" s="290"/>
      <c r="BF10" s="288"/>
      <c r="BG10" s="289"/>
      <c r="BH10" s="289"/>
      <c r="BI10" s="289"/>
      <c r="BJ10" s="290"/>
      <c r="BK10" s="288"/>
      <c r="BL10" s="289"/>
      <c r="BM10" s="289"/>
      <c r="BN10" s="289"/>
      <c r="BO10" s="290"/>
    </row>
    <row r="11" spans="1:67" x14ac:dyDescent="0.55000000000000004">
      <c r="A11" s="259" t="s">
        <v>400</v>
      </c>
      <c r="B11" s="259"/>
      <c r="C11" s="54"/>
      <c r="D11" s="54"/>
      <c r="E11" s="54"/>
      <c r="F11" s="54"/>
      <c r="R11" s="53"/>
      <c r="S11" s="53"/>
      <c r="T11" s="53"/>
      <c r="U11" s="53"/>
      <c r="V11" s="52"/>
      <c r="W11" s="288"/>
      <c r="X11" s="289"/>
      <c r="Y11" s="289"/>
      <c r="Z11" s="289"/>
      <c r="AA11" s="290"/>
      <c r="AB11" s="288"/>
      <c r="AC11" s="289"/>
      <c r="AD11" s="289"/>
      <c r="AE11" s="289"/>
      <c r="AF11" s="290"/>
      <c r="AG11" s="288"/>
      <c r="AH11" s="289"/>
      <c r="AI11" s="289"/>
      <c r="AJ11" s="289"/>
      <c r="AK11" s="290"/>
      <c r="AL11" s="288"/>
      <c r="AM11" s="289"/>
      <c r="AN11" s="289"/>
      <c r="AO11" s="289"/>
      <c r="AP11" s="290"/>
      <c r="AQ11" s="288"/>
      <c r="AR11" s="289"/>
      <c r="AS11" s="289"/>
      <c r="AT11" s="289"/>
      <c r="AU11" s="290"/>
      <c r="AV11" s="288"/>
      <c r="AW11" s="289"/>
      <c r="AX11" s="289"/>
      <c r="AY11" s="289"/>
      <c r="AZ11" s="290"/>
      <c r="BA11" s="288"/>
      <c r="BB11" s="289"/>
      <c r="BC11" s="289"/>
      <c r="BD11" s="289"/>
      <c r="BE11" s="290"/>
      <c r="BF11" s="288"/>
      <c r="BG11" s="289"/>
      <c r="BH11" s="289"/>
      <c r="BI11" s="289"/>
      <c r="BJ11" s="290"/>
      <c r="BK11" s="288"/>
      <c r="BL11" s="289"/>
      <c r="BM11" s="289"/>
      <c r="BN11" s="289"/>
      <c r="BO11" s="290"/>
    </row>
    <row r="12" spans="1:67" x14ac:dyDescent="0.55000000000000004">
      <c r="A12" s="259" t="s">
        <v>399</v>
      </c>
      <c r="B12" s="259"/>
      <c r="C12" s="54"/>
      <c r="D12" s="54"/>
      <c r="E12" s="54"/>
      <c r="F12" s="54"/>
      <c r="R12" s="53"/>
      <c r="S12" s="53"/>
      <c r="T12" s="53"/>
      <c r="U12" s="53"/>
      <c r="V12" s="52"/>
      <c r="W12" s="288"/>
      <c r="X12" s="289"/>
      <c r="Y12" s="289"/>
      <c r="Z12" s="289"/>
      <c r="AA12" s="290"/>
      <c r="AB12" s="288"/>
      <c r="AC12" s="289"/>
      <c r="AD12" s="289"/>
      <c r="AE12" s="289"/>
      <c r="AF12" s="290"/>
      <c r="AG12" s="288"/>
      <c r="AH12" s="289"/>
      <c r="AI12" s="289"/>
      <c r="AJ12" s="289"/>
      <c r="AK12" s="290"/>
      <c r="AL12" s="288"/>
      <c r="AM12" s="289"/>
      <c r="AN12" s="289"/>
      <c r="AO12" s="289"/>
      <c r="AP12" s="290"/>
      <c r="AQ12" s="288"/>
      <c r="AR12" s="289"/>
      <c r="AS12" s="289"/>
      <c r="AT12" s="289"/>
      <c r="AU12" s="290"/>
      <c r="AV12" s="288"/>
      <c r="AW12" s="289"/>
      <c r="AX12" s="289"/>
      <c r="AY12" s="289"/>
      <c r="AZ12" s="290"/>
      <c r="BA12" s="288"/>
      <c r="BB12" s="289"/>
      <c r="BC12" s="289"/>
      <c r="BD12" s="289"/>
      <c r="BE12" s="290"/>
      <c r="BF12" s="288"/>
      <c r="BG12" s="289"/>
      <c r="BH12" s="289"/>
      <c r="BI12" s="289"/>
      <c r="BJ12" s="290"/>
      <c r="BK12" s="288"/>
      <c r="BL12" s="289"/>
      <c r="BM12" s="289"/>
      <c r="BN12" s="289"/>
      <c r="BO12" s="290"/>
    </row>
    <row r="13" spans="1:67" x14ac:dyDescent="0.55000000000000004">
      <c r="C13" s="26" t="s">
        <v>209</v>
      </c>
      <c r="D13" s="26"/>
      <c r="E13" s="26"/>
      <c r="F13" s="26"/>
    </row>
    <row r="14" spans="1:67" ht="12.5" customHeight="1" x14ac:dyDescent="0.55000000000000004">
      <c r="C14" s="172" t="s">
        <v>4</v>
      </c>
      <c r="D14" s="173"/>
      <c r="E14" s="173"/>
      <c r="F14" s="173"/>
      <c r="G14" s="174"/>
      <c r="H14" s="172" t="s">
        <v>5</v>
      </c>
      <c r="I14" s="173"/>
      <c r="J14" s="173"/>
      <c r="K14" s="173"/>
      <c r="L14" s="174"/>
      <c r="M14" s="172" t="s">
        <v>6</v>
      </c>
      <c r="N14" s="173"/>
      <c r="O14" s="173"/>
      <c r="P14" s="173"/>
      <c r="Q14" s="174"/>
      <c r="R14" s="172" t="s">
        <v>7</v>
      </c>
      <c r="S14" s="173"/>
      <c r="T14" s="173"/>
      <c r="U14" s="173"/>
      <c r="V14" s="174"/>
      <c r="W14" s="172" t="s">
        <v>8</v>
      </c>
      <c r="X14" s="173"/>
      <c r="Y14" s="173"/>
      <c r="Z14" s="173"/>
      <c r="AA14" s="174"/>
      <c r="AB14" s="172" t="s">
        <v>10</v>
      </c>
      <c r="AC14" s="173"/>
      <c r="AD14" s="173"/>
      <c r="AE14" s="173"/>
      <c r="AF14" s="174"/>
      <c r="AG14" s="172" t="s">
        <v>11</v>
      </c>
      <c r="AH14" s="173"/>
      <c r="AI14" s="173"/>
      <c r="AJ14" s="173"/>
      <c r="AK14" s="174"/>
      <c r="AL14" s="172" t="s">
        <v>12</v>
      </c>
      <c r="AM14" s="173"/>
      <c r="AN14" s="173"/>
      <c r="AO14" s="173"/>
      <c r="AP14" s="174"/>
      <c r="AQ14" s="172" t="s">
        <v>13</v>
      </c>
      <c r="AR14" s="173"/>
      <c r="AS14" s="173"/>
      <c r="AT14" s="173"/>
      <c r="AU14" s="174"/>
      <c r="AV14" s="172" t="s">
        <v>14</v>
      </c>
      <c r="AW14" s="173"/>
      <c r="AX14" s="173"/>
      <c r="AY14" s="173"/>
      <c r="AZ14" s="174"/>
      <c r="BA14" s="172" t="s">
        <v>15</v>
      </c>
      <c r="BB14" s="173"/>
      <c r="BC14" s="173"/>
      <c r="BD14" s="173"/>
      <c r="BE14" s="174"/>
      <c r="BF14" s="172" t="s">
        <v>16</v>
      </c>
      <c r="BG14" s="173"/>
      <c r="BH14" s="173"/>
      <c r="BI14" s="173"/>
      <c r="BJ14" s="174"/>
      <c r="BK14" s="172" t="s">
        <v>4</v>
      </c>
      <c r="BL14" s="173"/>
      <c r="BM14" s="173"/>
      <c r="BN14" s="173"/>
      <c r="BO14" s="174"/>
    </row>
    <row r="15" spans="1:67" ht="10.5" customHeight="1" x14ac:dyDescent="0.55000000000000004">
      <c r="C15" s="170" t="s">
        <v>378</v>
      </c>
      <c r="D15" s="106" t="s">
        <v>373</v>
      </c>
      <c r="E15" s="171" t="s">
        <v>363</v>
      </c>
      <c r="F15" s="171" t="s">
        <v>374</v>
      </c>
      <c r="G15" s="171" t="s">
        <v>342</v>
      </c>
      <c r="H15" s="170" t="s">
        <v>378</v>
      </c>
      <c r="I15" s="106" t="s">
        <v>373</v>
      </c>
      <c r="J15" s="171" t="s">
        <v>363</v>
      </c>
      <c r="K15" s="171" t="s">
        <v>374</v>
      </c>
      <c r="L15" s="171" t="s">
        <v>342</v>
      </c>
      <c r="M15" s="170" t="s">
        <v>378</v>
      </c>
      <c r="N15" s="106" t="s">
        <v>373</v>
      </c>
      <c r="O15" s="171" t="s">
        <v>363</v>
      </c>
      <c r="P15" s="171" t="s">
        <v>374</v>
      </c>
      <c r="Q15" s="171" t="s">
        <v>342</v>
      </c>
      <c r="R15" s="170" t="s">
        <v>378</v>
      </c>
      <c r="S15" s="106" t="s">
        <v>373</v>
      </c>
      <c r="T15" s="171" t="s">
        <v>363</v>
      </c>
      <c r="U15" s="171" t="s">
        <v>374</v>
      </c>
      <c r="V15" s="171" t="s">
        <v>342</v>
      </c>
      <c r="W15" s="170" t="s">
        <v>378</v>
      </c>
      <c r="X15" s="106" t="s">
        <v>373</v>
      </c>
      <c r="Y15" s="171" t="s">
        <v>363</v>
      </c>
      <c r="Z15" s="171" t="s">
        <v>374</v>
      </c>
      <c r="AA15" s="171" t="s">
        <v>342</v>
      </c>
      <c r="AB15" s="170" t="s">
        <v>378</v>
      </c>
      <c r="AC15" s="106" t="s">
        <v>373</v>
      </c>
      <c r="AD15" s="171" t="s">
        <v>363</v>
      </c>
      <c r="AE15" s="171" t="s">
        <v>374</v>
      </c>
      <c r="AF15" s="171" t="s">
        <v>342</v>
      </c>
      <c r="AG15" s="170" t="s">
        <v>378</v>
      </c>
      <c r="AH15" s="106" t="s">
        <v>373</v>
      </c>
      <c r="AI15" s="171" t="s">
        <v>363</v>
      </c>
      <c r="AJ15" s="171" t="s">
        <v>374</v>
      </c>
      <c r="AK15" s="171" t="s">
        <v>342</v>
      </c>
      <c r="AL15" s="170" t="s">
        <v>378</v>
      </c>
      <c r="AM15" s="106" t="s">
        <v>373</v>
      </c>
      <c r="AN15" s="171" t="s">
        <v>363</v>
      </c>
      <c r="AO15" s="171" t="s">
        <v>374</v>
      </c>
      <c r="AP15" s="171" t="s">
        <v>342</v>
      </c>
      <c r="AQ15" s="170" t="s">
        <v>378</v>
      </c>
      <c r="AR15" s="106" t="s">
        <v>373</v>
      </c>
      <c r="AS15" s="171" t="s">
        <v>363</v>
      </c>
      <c r="AT15" s="171" t="s">
        <v>374</v>
      </c>
      <c r="AU15" s="171" t="s">
        <v>342</v>
      </c>
      <c r="AV15" s="170" t="s">
        <v>378</v>
      </c>
      <c r="AW15" s="106" t="s">
        <v>373</v>
      </c>
      <c r="AX15" s="171" t="s">
        <v>363</v>
      </c>
      <c r="AY15" s="171" t="s">
        <v>374</v>
      </c>
      <c r="AZ15" s="171" t="s">
        <v>342</v>
      </c>
      <c r="BA15" s="170" t="s">
        <v>378</v>
      </c>
      <c r="BB15" s="106" t="s">
        <v>373</v>
      </c>
      <c r="BC15" s="171" t="s">
        <v>363</v>
      </c>
      <c r="BD15" s="171" t="s">
        <v>374</v>
      </c>
      <c r="BE15" s="171" t="s">
        <v>342</v>
      </c>
      <c r="BF15" s="170" t="s">
        <v>378</v>
      </c>
      <c r="BG15" s="106" t="s">
        <v>373</v>
      </c>
      <c r="BH15" s="171" t="s">
        <v>363</v>
      </c>
      <c r="BI15" s="171" t="s">
        <v>374</v>
      </c>
      <c r="BJ15" s="171" t="s">
        <v>342</v>
      </c>
      <c r="BK15" s="170" t="s">
        <v>378</v>
      </c>
      <c r="BL15" s="106" t="s">
        <v>373</v>
      </c>
      <c r="BM15" s="171" t="s">
        <v>363</v>
      </c>
      <c r="BN15" s="171" t="s">
        <v>374</v>
      </c>
      <c r="BO15" s="171" t="s">
        <v>342</v>
      </c>
    </row>
    <row r="16" spans="1:67" ht="15" customHeight="1" x14ac:dyDescent="0.55000000000000004">
      <c r="C16" s="45" t="s">
        <v>220</v>
      </c>
      <c r="D16" s="113">
        <v>165</v>
      </c>
      <c r="E16" s="113">
        <v>4</v>
      </c>
      <c r="F16" s="113">
        <f>ROUND((D16-E16)*G16,0)</f>
        <v>153</v>
      </c>
      <c r="G16" s="175">
        <v>0.95</v>
      </c>
      <c r="H16" s="45" t="s">
        <v>220</v>
      </c>
      <c r="I16" s="113">
        <v>165</v>
      </c>
      <c r="J16" s="113">
        <v>4</v>
      </c>
      <c r="K16" s="113">
        <f>ROUND((I16-J16)*L16,0)</f>
        <v>153</v>
      </c>
      <c r="L16" s="175">
        <v>0.95</v>
      </c>
      <c r="M16" s="45" t="s">
        <v>220</v>
      </c>
      <c r="N16" s="113">
        <v>165</v>
      </c>
      <c r="O16" s="113">
        <v>4</v>
      </c>
      <c r="P16" s="113">
        <f>ROUND((N16-O16)*Q16,0)</f>
        <v>153</v>
      </c>
      <c r="Q16" s="175">
        <v>0.95</v>
      </c>
      <c r="R16" s="45" t="s">
        <v>220</v>
      </c>
      <c r="S16" s="113">
        <v>165</v>
      </c>
      <c r="T16" s="113">
        <v>4</v>
      </c>
      <c r="U16" s="113">
        <f>ROUND((S16-T16)*V16,0)</f>
        <v>153</v>
      </c>
      <c r="V16" s="175">
        <v>0.95</v>
      </c>
      <c r="W16" s="73" t="s">
        <v>220</v>
      </c>
      <c r="X16" s="112">
        <v>165</v>
      </c>
      <c r="Y16" s="112">
        <v>4</v>
      </c>
      <c r="Z16" s="112">
        <f t="shared" ref="Z16:Z25" si="0">ROUND((X16-Y16)*AA16,0)</f>
        <v>153</v>
      </c>
      <c r="AA16" s="209">
        <v>0.95</v>
      </c>
      <c r="AB16" s="73" t="s">
        <v>220</v>
      </c>
      <c r="AC16" s="112">
        <v>165</v>
      </c>
      <c r="AD16" s="112">
        <v>4</v>
      </c>
      <c r="AE16" s="112">
        <f t="shared" ref="AE16:AE25" si="1">ROUND((AC16-AD16)*AF16,0)</f>
        <v>153</v>
      </c>
      <c r="AF16" s="209">
        <v>0.95</v>
      </c>
      <c r="AG16" s="73" t="s">
        <v>220</v>
      </c>
      <c r="AH16" s="112">
        <v>165</v>
      </c>
      <c r="AI16" s="112">
        <v>4</v>
      </c>
      <c r="AJ16" s="112">
        <f t="shared" ref="AJ16:AJ25" si="2">ROUND((AH16-AI16)*AK16,0)</f>
        <v>153</v>
      </c>
      <c r="AK16" s="209">
        <v>0.95</v>
      </c>
      <c r="AL16" s="73" t="s">
        <v>220</v>
      </c>
      <c r="AM16" s="112">
        <v>165</v>
      </c>
      <c r="AN16" s="112">
        <v>4</v>
      </c>
      <c r="AO16" s="112">
        <f t="shared" ref="AO16:AO24" si="3">ROUND((AM16-AN16)*AP16,0)</f>
        <v>153</v>
      </c>
      <c r="AP16" s="209">
        <v>0.95</v>
      </c>
      <c r="AQ16" s="73" t="s">
        <v>220</v>
      </c>
      <c r="AR16" s="112">
        <v>165</v>
      </c>
      <c r="AS16" s="112">
        <v>4</v>
      </c>
      <c r="AT16" s="112">
        <f t="shared" ref="AT16:AT24" si="4">ROUND((AR16-AS16)*AU16,0)</f>
        <v>153</v>
      </c>
      <c r="AU16" s="209">
        <v>0.95</v>
      </c>
      <c r="AV16" s="48"/>
      <c r="AW16" s="163"/>
      <c r="AX16" s="163"/>
      <c r="AY16" s="163"/>
      <c r="AZ16" s="163"/>
      <c r="BA16" s="48"/>
      <c r="BB16" s="163"/>
      <c r="BC16" s="163"/>
      <c r="BD16" s="163"/>
      <c r="BE16" s="163"/>
      <c r="BF16" s="48"/>
      <c r="BG16" s="163"/>
      <c r="BH16" s="163"/>
      <c r="BI16" s="163"/>
      <c r="BJ16" s="163"/>
      <c r="BK16" s="48"/>
      <c r="BL16" s="163"/>
      <c r="BM16" s="163"/>
      <c r="BN16" s="163"/>
      <c r="BO16" s="163"/>
    </row>
    <row r="17" spans="3:67" ht="15" customHeight="1" x14ac:dyDescent="0.55000000000000004">
      <c r="C17" s="45" t="s">
        <v>221</v>
      </c>
      <c r="D17" s="113">
        <v>130</v>
      </c>
      <c r="E17" s="113">
        <v>4</v>
      </c>
      <c r="F17" s="113">
        <f>ROUND((D17-E17)*G17,0)</f>
        <v>120</v>
      </c>
      <c r="G17" s="175">
        <v>0.95</v>
      </c>
      <c r="H17" s="45" t="s">
        <v>221</v>
      </c>
      <c r="I17" s="113">
        <v>130</v>
      </c>
      <c r="J17" s="113">
        <v>4</v>
      </c>
      <c r="K17" s="113">
        <f>ROUND((I17-J17)*L17,0)</f>
        <v>120</v>
      </c>
      <c r="L17" s="175">
        <v>0.95</v>
      </c>
      <c r="M17" s="45" t="s">
        <v>221</v>
      </c>
      <c r="N17" s="113">
        <v>130</v>
      </c>
      <c r="O17" s="113">
        <v>4</v>
      </c>
      <c r="P17" s="113">
        <f>ROUND((N17-O17)*Q17,0)</f>
        <v>120</v>
      </c>
      <c r="Q17" s="175">
        <v>0.95</v>
      </c>
      <c r="R17" s="45" t="s">
        <v>221</v>
      </c>
      <c r="S17" s="113">
        <v>130</v>
      </c>
      <c r="T17" s="113">
        <v>4</v>
      </c>
      <c r="U17" s="113">
        <f>ROUND((S17-T17)*V17,0)</f>
        <v>120</v>
      </c>
      <c r="V17" s="175">
        <v>0.95</v>
      </c>
      <c r="W17" s="45" t="s">
        <v>221</v>
      </c>
      <c r="X17" s="113">
        <v>130</v>
      </c>
      <c r="Y17" s="113">
        <v>4</v>
      </c>
      <c r="Z17" s="113">
        <f t="shared" si="0"/>
        <v>120</v>
      </c>
      <c r="AA17" s="175">
        <v>0.95</v>
      </c>
      <c r="AB17" s="45" t="s">
        <v>221</v>
      </c>
      <c r="AC17" s="113">
        <v>130</v>
      </c>
      <c r="AD17" s="113">
        <v>4</v>
      </c>
      <c r="AE17" s="113">
        <f t="shared" si="1"/>
        <v>120</v>
      </c>
      <c r="AF17" s="175">
        <v>0.95</v>
      </c>
      <c r="AG17" s="45" t="s">
        <v>221</v>
      </c>
      <c r="AH17" s="113">
        <v>130</v>
      </c>
      <c r="AI17" s="113">
        <v>4</v>
      </c>
      <c r="AJ17" s="113">
        <f t="shared" si="2"/>
        <v>120</v>
      </c>
      <c r="AK17" s="175">
        <v>0.95</v>
      </c>
      <c r="AL17" s="45" t="s">
        <v>221</v>
      </c>
      <c r="AM17" s="113">
        <v>130</v>
      </c>
      <c r="AN17" s="113">
        <v>4</v>
      </c>
      <c r="AO17" s="113">
        <f t="shared" si="3"/>
        <v>120</v>
      </c>
      <c r="AP17" s="175">
        <v>0.95</v>
      </c>
      <c r="AQ17" s="45" t="s">
        <v>221</v>
      </c>
      <c r="AR17" s="113">
        <v>130</v>
      </c>
      <c r="AS17" s="113">
        <v>4</v>
      </c>
      <c r="AT17" s="113">
        <f t="shared" si="4"/>
        <v>120</v>
      </c>
      <c r="AU17" s="175">
        <v>0.95</v>
      </c>
      <c r="AV17" s="45" t="s">
        <v>221</v>
      </c>
      <c r="AW17" s="113">
        <v>130</v>
      </c>
      <c r="AX17" s="113">
        <v>4</v>
      </c>
      <c r="AY17" s="113">
        <f t="shared" ref="AY17:AY24" si="5">ROUND((AW17-AX17)*AZ17,0)</f>
        <v>120</v>
      </c>
      <c r="AZ17" s="175">
        <v>0.95</v>
      </c>
      <c r="BA17" s="45" t="s">
        <v>221</v>
      </c>
      <c r="BB17" s="113">
        <v>130</v>
      </c>
      <c r="BC17" s="113">
        <v>4</v>
      </c>
      <c r="BD17" s="113">
        <f t="shared" ref="BD17:BD24" si="6">ROUND((BB17-BC17)*BE17,0)</f>
        <v>120</v>
      </c>
      <c r="BE17" s="175">
        <v>0.95</v>
      </c>
      <c r="BF17" s="45" t="s">
        <v>221</v>
      </c>
      <c r="BG17" s="113">
        <v>130</v>
      </c>
      <c r="BH17" s="113">
        <v>4</v>
      </c>
      <c r="BI17" s="113">
        <f t="shared" ref="BI17:BI24" si="7">ROUND((BG17-BH17)*BJ17,0)</f>
        <v>120</v>
      </c>
      <c r="BJ17" s="175">
        <v>0.95</v>
      </c>
      <c r="BK17" s="45" t="s">
        <v>221</v>
      </c>
      <c r="BL17" s="113">
        <v>130</v>
      </c>
      <c r="BM17" s="113">
        <v>4</v>
      </c>
      <c r="BN17" s="113">
        <f t="shared" ref="BN17:BN24" si="8">ROUND((BL17-BM17)*BO17,0)</f>
        <v>120</v>
      </c>
      <c r="BO17" s="175">
        <v>0.95</v>
      </c>
    </row>
    <row r="18" spans="3:67" ht="15" customHeight="1" x14ac:dyDescent="0.55000000000000004">
      <c r="C18" s="45" t="s">
        <v>222</v>
      </c>
      <c r="D18" s="113">
        <v>165</v>
      </c>
      <c r="E18" s="113">
        <v>10</v>
      </c>
      <c r="F18" s="113">
        <f>ROUND((D18-E18)*G18,0)</f>
        <v>132</v>
      </c>
      <c r="G18" s="175">
        <v>0.85</v>
      </c>
      <c r="H18" s="45" t="s">
        <v>222</v>
      </c>
      <c r="I18" s="113">
        <v>165</v>
      </c>
      <c r="J18" s="113">
        <v>10</v>
      </c>
      <c r="K18" s="113">
        <f>ROUND((I18-J18)*L18,0)</f>
        <v>132</v>
      </c>
      <c r="L18" s="175">
        <v>0.85</v>
      </c>
      <c r="M18" s="45" t="s">
        <v>222</v>
      </c>
      <c r="N18" s="113">
        <v>165</v>
      </c>
      <c r="O18" s="113">
        <v>10</v>
      </c>
      <c r="P18" s="113">
        <f>ROUND((N18-O18)*Q18,0)</f>
        <v>132</v>
      </c>
      <c r="Q18" s="175">
        <v>0.85</v>
      </c>
      <c r="R18" s="45" t="s">
        <v>222</v>
      </c>
      <c r="S18" s="113">
        <v>165</v>
      </c>
      <c r="T18" s="113">
        <v>10</v>
      </c>
      <c r="U18" s="113">
        <f>ROUND((S18-T18)*V18,0)</f>
        <v>132</v>
      </c>
      <c r="V18" s="175">
        <v>0.85</v>
      </c>
      <c r="W18" s="73" t="s">
        <v>222</v>
      </c>
      <c r="X18" s="112">
        <v>165</v>
      </c>
      <c r="Y18" s="112">
        <v>10</v>
      </c>
      <c r="Z18" s="112">
        <f t="shared" si="0"/>
        <v>132</v>
      </c>
      <c r="AA18" s="209">
        <v>0.85</v>
      </c>
      <c r="AB18" s="73" t="s">
        <v>222</v>
      </c>
      <c r="AC18" s="112">
        <v>165</v>
      </c>
      <c r="AD18" s="112">
        <v>10</v>
      </c>
      <c r="AE18" s="112">
        <f t="shared" si="1"/>
        <v>132</v>
      </c>
      <c r="AF18" s="209">
        <v>0.85</v>
      </c>
      <c r="AG18" s="73" t="s">
        <v>222</v>
      </c>
      <c r="AH18" s="112">
        <v>165</v>
      </c>
      <c r="AI18" s="112">
        <v>10</v>
      </c>
      <c r="AJ18" s="112">
        <f t="shared" si="2"/>
        <v>132</v>
      </c>
      <c r="AK18" s="209">
        <v>0.85</v>
      </c>
      <c r="AL18" s="73" t="s">
        <v>222</v>
      </c>
      <c r="AM18" s="112">
        <v>165</v>
      </c>
      <c r="AN18" s="112">
        <v>10</v>
      </c>
      <c r="AO18" s="112">
        <f t="shared" si="3"/>
        <v>132</v>
      </c>
      <c r="AP18" s="209">
        <v>0.85</v>
      </c>
      <c r="AQ18" s="73" t="s">
        <v>222</v>
      </c>
      <c r="AR18" s="112">
        <v>165</v>
      </c>
      <c r="AS18" s="112">
        <v>10</v>
      </c>
      <c r="AT18" s="112">
        <f t="shared" si="4"/>
        <v>132</v>
      </c>
      <c r="AU18" s="209">
        <v>0.85</v>
      </c>
      <c r="AV18" s="73" t="s">
        <v>222</v>
      </c>
      <c r="AW18" s="112">
        <v>165</v>
      </c>
      <c r="AX18" s="112">
        <v>10</v>
      </c>
      <c r="AY18" s="112">
        <f t="shared" si="5"/>
        <v>132</v>
      </c>
      <c r="AZ18" s="209">
        <v>0.85</v>
      </c>
      <c r="BA18" s="73" t="s">
        <v>222</v>
      </c>
      <c r="BB18" s="112">
        <v>165</v>
      </c>
      <c r="BC18" s="112">
        <v>10</v>
      </c>
      <c r="BD18" s="112">
        <f t="shared" si="6"/>
        <v>132</v>
      </c>
      <c r="BE18" s="209">
        <v>0.85</v>
      </c>
      <c r="BF18" s="73" t="s">
        <v>222</v>
      </c>
      <c r="BG18" s="112">
        <v>165</v>
      </c>
      <c r="BH18" s="112">
        <v>10</v>
      </c>
      <c r="BI18" s="112">
        <f t="shared" si="7"/>
        <v>132</v>
      </c>
      <c r="BJ18" s="209">
        <v>0.85</v>
      </c>
      <c r="BK18" s="73" t="s">
        <v>222</v>
      </c>
      <c r="BL18" s="112">
        <v>165</v>
      </c>
      <c r="BM18" s="112">
        <v>10</v>
      </c>
      <c r="BN18" s="112">
        <f t="shared" si="8"/>
        <v>132</v>
      </c>
      <c r="BO18" s="209">
        <v>0.85</v>
      </c>
    </row>
    <row r="19" spans="3:67" ht="15" customHeight="1" x14ac:dyDescent="0.55000000000000004">
      <c r="C19" s="45" t="s">
        <v>223</v>
      </c>
      <c r="D19" s="113">
        <v>200</v>
      </c>
      <c r="E19" s="113">
        <v>20</v>
      </c>
      <c r="F19" s="113">
        <f>ROUND((D19-E19)*G19,0)</f>
        <v>108</v>
      </c>
      <c r="G19" s="175">
        <v>0.6</v>
      </c>
      <c r="H19" s="45" t="s">
        <v>223</v>
      </c>
      <c r="I19" s="113">
        <v>200</v>
      </c>
      <c r="J19" s="113">
        <v>20</v>
      </c>
      <c r="K19" s="113">
        <f>ROUND((I19-J19)*L19,0)</f>
        <v>108</v>
      </c>
      <c r="L19" s="175">
        <v>0.6</v>
      </c>
      <c r="M19" s="45" t="s">
        <v>223</v>
      </c>
      <c r="N19" s="113">
        <v>200</v>
      </c>
      <c r="O19" s="113">
        <v>20</v>
      </c>
      <c r="P19" s="113">
        <f>ROUND((N19-O19)*Q19,0)</f>
        <v>108</v>
      </c>
      <c r="Q19" s="175">
        <v>0.6</v>
      </c>
      <c r="R19" s="45" t="s">
        <v>223</v>
      </c>
      <c r="S19" s="113">
        <v>200</v>
      </c>
      <c r="T19" s="113">
        <v>20</v>
      </c>
      <c r="U19" s="113">
        <f>ROUND((S19-T19)*V19,0)</f>
        <v>108</v>
      </c>
      <c r="V19" s="175">
        <v>0.6</v>
      </c>
      <c r="W19" s="45" t="s">
        <v>223</v>
      </c>
      <c r="X19" s="113">
        <v>200</v>
      </c>
      <c r="Y19" s="113">
        <v>20</v>
      </c>
      <c r="Z19" s="113">
        <f t="shared" si="0"/>
        <v>108</v>
      </c>
      <c r="AA19" s="175">
        <v>0.6</v>
      </c>
      <c r="AB19" s="45" t="s">
        <v>223</v>
      </c>
      <c r="AC19" s="113">
        <v>200</v>
      </c>
      <c r="AD19" s="113">
        <v>20</v>
      </c>
      <c r="AE19" s="113">
        <f t="shared" si="1"/>
        <v>108</v>
      </c>
      <c r="AF19" s="175">
        <v>0.6</v>
      </c>
      <c r="AG19" s="45" t="s">
        <v>223</v>
      </c>
      <c r="AH19" s="113">
        <v>200</v>
      </c>
      <c r="AI19" s="113">
        <v>20</v>
      </c>
      <c r="AJ19" s="113">
        <f t="shared" si="2"/>
        <v>108</v>
      </c>
      <c r="AK19" s="175">
        <v>0.6</v>
      </c>
      <c r="AL19" s="45" t="s">
        <v>223</v>
      </c>
      <c r="AM19" s="113">
        <v>200</v>
      </c>
      <c r="AN19" s="113">
        <v>20</v>
      </c>
      <c r="AO19" s="113">
        <f t="shared" si="3"/>
        <v>108</v>
      </c>
      <c r="AP19" s="175">
        <v>0.6</v>
      </c>
      <c r="AQ19" s="45" t="s">
        <v>223</v>
      </c>
      <c r="AR19" s="113">
        <v>200</v>
      </c>
      <c r="AS19" s="113">
        <v>20</v>
      </c>
      <c r="AT19" s="113">
        <f t="shared" si="4"/>
        <v>108</v>
      </c>
      <c r="AU19" s="175">
        <v>0.6</v>
      </c>
      <c r="AV19" s="45" t="s">
        <v>223</v>
      </c>
      <c r="AW19" s="113">
        <v>200</v>
      </c>
      <c r="AX19" s="113">
        <v>20</v>
      </c>
      <c r="AY19" s="113">
        <f t="shared" si="5"/>
        <v>108</v>
      </c>
      <c r="AZ19" s="175">
        <v>0.6</v>
      </c>
      <c r="BA19" s="45" t="s">
        <v>223</v>
      </c>
      <c r="BB19" s="113">
        <v>200</v>
      </c>
      <c r="BC19" s="113">
        <v>20</v>
      </c>
      <c r="BD19" s="113">
        <f t="shared" si="6"/>
        <v>108</v>
      </c>
      <c r="BE19" s="175">
        <v>0.6</v>
      </c>
      <c r="BF19" s="45" t="s">
        <v>223</v>
      </c>
      <c r="BG19" s="113">
        <v>200</v>
      </c>
      <c r="BH19" s="113">
        <v>20</v>
      </c>
      <c r="BI19" s="113">
        <f t="shared" si="7"/>
        <v>108</v>
      </c>
      <c r="BJ19" s="175">
        <v>0.6</v>
      </c>
      <c r="BK19" s="45" t="s">
        <v>223</v>
      </c>
      <c r="BL19" s="113">
        <v>200</v>
      </c>
      <c r="BM19" s="113">
        <v>20</v>
      </c>
      <c r="BN19" s="113">
        <f t="shared" si="8"/>
        <v>108</v>
      </c>
      <c r="BO19" s="175">
        <v>0.6</v>
      </c>
    </row>
    <row r="20" spans="3:67" ht="15" customHeight="1" x14ac:dyDescent="0.55000000000000004">
      <c r="C20" s="45" t="s">
        <v>370</v>
      </c>
      <c r="D20" s="113">
        <v>200</v>
      </c>
      <c r="E20" s="113">
        <v>20</v>
      </c>
      <c r="F20" s="113">
        <f>ROUND((D20-E20)*G20,0)</f>
        <v>162</v>
      </c>
      <c r="G20" s="175">
        <v>0.9</v>
      </c>
      <c r="H20" s="45" t="s">
        <v>370</v>
      </c>
      <c r="I20" s="113">
        <v>200</v>
      </c>
      <c r="J20" s="113">
        <v>20</v>
      </c>
      <c r="K20" s="113">
        <f>ROUND((I20-J20)*L20,0)</f>
        <v>162</v>
      </c>
      <c r="L20" s="175">
        <v>0.9</v>
      </c>
      <c r="M20" s="45" t="s">
        <v>370</v>
      </c>
      <c r="N20" s="113">
        <v>200</v>
      </c>
      <c r="O20" s="113">
        <v>20</v>
      </c>
      <c r="P20" s="113">
        <f>ROUND((N20-O20)*Q20,0)</f>
        <v>162</v>
      </c>
      <c r="Q20" s="175">
        <v>0.9</v>
      </c>
      <c r="R20" s="45" t="s">
        <v>370</v>
      </c>
      <c r="S20" s="113">
        <v>200</v>
      </c>
      <c r="T20" s="113">
        <v>20</v>
      </c>
      <c r="U20" s="113">
        <f>ROUND((S20-T20)*V20,0)</f>
        <v>162</v>
      </c>
      <c r="V20" s="175">
        <v>0.9</v>
      </c>
      <c r="W20" s="73" t="s">
        <v>370</v>
      </c>
      <c r="X20" s="112">
        <v>200</v>
      </c>
      <c r="Y20" s="112">
        <v>20</v>
      </c>
      <c r="Z20" s="112">
        <f t="shared" si="0"/>
        <v>162</v>
      </c>
      <c r="AA20" s="209">
        <v>0.9</v>
      </c>
      <c r="AB20" s="73" t="s">
        <v>370</v>
      </c>
      <c r="AC20" s="112">
        <v>200</v>
      </c>
      <c r="AD20" s="112">
        <v>20</v>
      </c>
      <c r="AE20" s="112">
        <f t="shared" si="1"/>
        <v>162</v>
      </c>
      <c r="AF20" s="209">
        <v>0.9</v>
      </c>
      <c r="AG20" s="73" t="s">
        <v>370</v>
      </c>
      <c r="AH20" s="112">
        <v>200</v>
      </c>
      <c r="AI20" s="112">
        <v>20</v>
      </c>
      <c r="AJ20" s="112">
        <f t="shared" si="2"/>
        <v>162</v>
      </c>
      <c r="AK20" s="209">
        <v>0.9</v>
      </c>
      <c r="AL20" s="73" t="s">
        <v>370</v>
      </c>
      <c r="AM20" s="112">
        <v>200</v>
      </c>
      <c r="AN20" s="112">
        <v>20</v>
      </c>
      <c r="AO20" s="112">
        <f t="shared" si="3"/>
        <v>162</v>
      </c>
      <c r="AP20" s="209">
        <v>0.9</v>
      </c>
      <c r="AQ20" s="73" t="s">
        <v>370</v>
      </c>
      <c r="AR20" s="112">
        <v>200</v>
      </c>
      <c r="AS20" s="112">
        <v>20</v>
      </c>
      <c r="AT20" s="112">
        <f t="shared" si="4"/>
        <v>162</v>
      </c>
      <c r="AU20" s="209">
        <v>0.9</v>
      </c>
      <c r="AV20" s="73" t="s">
        <v>370</v>
      </c>
      <c r="AW20" s="112">
        <v>200</v>
      </c>
      <c r="AX20" s="112">
        <v>20</v>
      </c>
      <c r="AY20" s="112">
        <f t="shared" si="5"/>
        <v>162</v>
      </c>
      <c r="AZ20" s="209">
        <v>0.9</v>
      </c>
      <c r="BA20" s="73" t="s">
        <v>370</v>
      </c>
      <c r="BB20" s="112">
        <v>200</v>
      </c>
      <c r="BC20" s="112">
        <v>20</v>
      </c>
      <c r="BD20" s="112">
        <f t="shared" si="6"/>
        <v>162</v>
      </c>
      <c r="BE20" s="209">
        <v>0.9</v>
      </c>
      <c r="BF20" s="73" t="s">
        <v>370</v>
      </c>
      <c r="BG20" s="112">
        <v>200</v>
      </c>
      <c r="BH20" s="112">
        <v>20</v>
      </c>
      <c r="BI20" s="112">
        <f t="shared" si="7"/>
        <v>162</v>
      </c>
      <c r="BJ20" s="209">
        <v>0.9</v>
      </c>
      <c r="BK20" s="73" t="s">
        <v>370</v>
      </c>
      <c r="BL20" s="112">
        <v>200</v>
      </c>
      <c r="BM20" s="112">
        <v>20</v>
      </c>
      <c r="BN20" s="112">
        <f t="shared" si="8"/>
        <v>162</v>
      </c>
      <c r="BO20" s="209">
        <v>0.9</v>
      </c>
    </row>
    <row r="21" spans="3:67" ht="15" customHeight="1" x14ac:dyDescent="0.55000000000000004">
      <c r="C21" s="48"/>
      <c r="D21" s="48"/>
      <c r="E21" s="163"/>
      <c r="F21" s="163"/>
      <c r="G21" s="176"/>
      <c r="H21" s="48"/>
      <c r="I21" s="163"/>
      <c r="J21" s="163"/>
      <c r="K21" s="163"/>
      <c r="L21" s="176"/>
      <c r="M21" s="163"/>
      <c r="N21" s="163"/>
      <c r="O21" s="163"/>
      <c r="P21" s="163"/>
      <c r="Q21" s="176"/>
      <c r="R21" s="163"/>
      <c r="S21" s="163"/>
      <c r="T21" s="163"/>
      <c r="U21" s="163"/>
      <c r="V21" s="176"/>
      <c r="W21" s="45" t="s">
        <v>375</v>
      </c>
      <c r="X21" s="113">
        <v>200</v>
      </c>
      <c r="Y21" s="113">
        <v>50</v>
      </c>
      <c r="Z21" s="113">
        <f t="shared" si="0"/>
        <v>135</v>
      </c>
      <c r="AA21" s="175">
        <v>0.9</v>
      </c>
      <c r="AB21" s="45" t="s">
        <v>375</v>
      </c>
      <c r="AC21" s="113">
        <v>200</v>
      </c>
      <c r="AD21" s="113">
        <v>50</v>
      </c>
      <c r="AE21" s="113">
        <f t="shared" si="1"/>
        <v>135</v>
      </c>
      <c r="AF21" s="175">
        <v>0.9</v>
      </c>
      <c r="AG21" s="45" t="s">
        <v>375</v>
      </c>
      <c r="AH21" s="113">
        <v>200</v>
      </c>
      <c r="AI21" s="113">
        <v>50</v>
      </c>
      <c r="AJ21" s="113">
        <f t="shared" si="2"/>
        <v>135</v>
      </c>
      <c r="AK21" s="175">
        <v>0.9</v>
      </c>
      <c r="AL21" s="45" t="s">
        <v>375</v>
      </c>
      <c r="AM21" s="113">
        <v>200</v>
      </c>
      <c r="AN21" s="113">
        <v>50</v>
      </c>
      <c r="AO21" s="113">
        <f t="shared" si="3"/>
        <v>135</v>
      </c>
      <c r="AP21" s="175">
        <v>0.9</v>
      </c>
      <c r="AQ21" s="45" t="s">
        <v>375</v>
      </c>
      <c r="AR21" s="113">
        <v>200</v>
      </c>
      <c r="AS21" s="113">
        <v>50</v>
      </c>
      <c r="AT21" s="113">
        <f t="shared" si="4"/>
        <v>135</v>
      </c>
      <c r="AU21" s="175">
        <v>0.9</v>
      </c>
      <c r="AV21" s="45" t="s">
        <v>375</v>
      </c>
      <c r="AW21" s="113">
        <v>200</v>
      </c>
      <c r="AX21" s="113">
        <v>50</v>
      </c>
      <c r="AY21" s="113">
        <f t="shared" si="5"/>
        <v>135</v>
      </c>
      <c r="AZ21" s="175">
        <v>0.9</v>
      </c>
      <c r="BA21" s="45" t="s">
        <v>375</v>
      </c>
      <c r="BB21" s="113">
        <v>200</v>
      </c>
      <c r="BC21" s="113">
        <v>50</v>
      </c>
      <c r="BD21" s="113">
        <f t="shared" si="6"/>
        <v>135</v>
      </c>
      <c r="BE21" s="175">
        <v>0.9</v>
      </c>
      <c r="BF21" s="45" t="s">
        <v>375</v>
      </c>
      <c r="BG21" s="113">
        <v>200</v>
      </c>
      <c r="BH21" s="113">
        <v>50</v>
      </c>
      <c r="BI21" s="113">
        <f t="shared" si="7"/>
        <v>135</v>
      </c>
      <c r="BJ21" s="175">
        <v>0.9</v>
      </c>
      <c r="BK21" s="45" t="s">
        <v>375</v>
      </c>
      <c r="BL21" s="113">
        <v>200</v>
      </c>
      <c r="BM21" s="113">
        <v>50</v>
      </c>
      <c r="BN21" s="113">
        <f t="shared" si="8"/>
        <v>135</v>
      </c>
      <c r="BO21" s="175">
        <v>0.9</v>
      </c>
    </row>
    <row r="22" spans="3:67" ht="15" customHeight="1" x14ac:dyDescent="0.55000000000000004">
      <c r="C22" s="45" t="s">
        <v>224</v>
      </c>
      <c r="D22" s="113">
        <v>165</v>
      </c>
      <c r="E22" s="113">
        <v>20</v>
      </c>
      <c r="F22" s="113">
        <f>ROUND((D22-E22)*G22,0)</f>
        <v>87</v>
      </c>
      <c r="G22" s="175">
        <v>0.6</v>
      </c>
      <c r="H22" s="45" t="s">
        <v>224</v>
      </c>
      <c r="I22" s="113">
        <v>165</v>
      </c>
      <c r="J22" s="113">
        <v>20</v>
      </c>
      <c r="K22" s="113">
        <f>ROUND((I22-J22)*L22,0)</f>
        <v>87</v>
      </c>
      <c r="L22" s="175">
        <v>0.6</v>
      </c>
      <c r="M22" s="45" t="s">
        <v>224</v>
      </c>
      <c r="N22" s="113">
        <v>165</v>
      </c>
      <c r="O22" s="113">
        <v>20</v>
      </c>
      <c r="P22" s="113">
        <f>ROUND((N22-O22)*Q22,0)</f>
        <v>87</v>
      </c>
      <c r="Q22" s="175">
        <v>0.6</v>
      </c>
      <c r="R22" s="45" t="s">
        <v>224</v>
      </c>
      <c r="S22" s="113">
        <v>165</v>
      </c>
      <c r="T22" s="113">
        <v>20</v>
      </c>
      <c r="U22" s="113">
        <f>ROUND((S22-T22)*V22,0)</f>
        <v>87</v>
      </c>
      <c r="V22" s="175">
        <v>0.6</v>
      </c>
      <c r="W22" s="73" t="s">
        <v>224</v>
      </c>
      <c r="X22" s="112">
        <v>165</v>
      </c>
      <c r="Y22" s="112">
        <v>20</v>
      </c>
      <c r="Z22" s="112">
        <f t="shared" si="0"/>
        <v>87</v>
      </c>
      <c r="AA22" s="209">
        <v>0.6</v>
      </c>
      <c r="AB22" s="73" t="s">
        <v>224</v>
      </c>
      <c r="AC22" s="112">
        <v>165</v>
      </c>
      <c r="AD22" s="112">
        <v>20</v>
      </c>
      <c r="AE22" s="112">
        <f t="shared" si="1"/>
        <v>87</v>
      </c>
      <c r="AF22" s="209">
        <v>0.6</v>
      </c>
      <c r="AG22" s="73" t="s">
        <v>224</v>
      </c>
      <c r="AH22" s="112">
        <v>165</v>
      </c>
      <c r="AI22" s="112">
        <v>20</v>
      </c>
      <c r="AJ22" s="112">
        <f t="shared" si="2"/>
        <v>87</v>
      </c>
      <c r="AK22" s="209">
        <v>0.6</v>
      </c>
      <c r="AL22" s="73" t="s">
        <v>224</v>
      </c>
      <c r="AM22" s="112">
        <v>165</v>
      </c>
      <c r="AN22" s="112">
        <v>20</v>
      </c>
      <c r="AO22" s="112">
        <f t="shared" si="3"/>
        <v>87</v>
      </c>
      <c r="AP22" s="209">
        <v>0.6</v>
      </c>
      <c r="AQ22" s="73" t="s">
        <v>224</v>
      </c>
      <c r="AR22" s="112">
        <v>165</v>
      </c>
      <c r="AS22" s="112">
        <v>20</v>
      </c>
      <c r="AT22" s="112">
        <f t="shared" si="4"/>
        <v>87</v>
      </c>
      <c r="AU22" s="209">
        <v>0.6</v>
      </c>
      <c r="AV22" s="73" t="s">
        <v>224</v>
      </c>
      <c r="AW22" s="112">
        <v>165</v>
      </c>
      <c r="AX22" s="112">
        <v>20</v>
      </c>
      <c r="AY22" s="112">
        <f t="shared" si="5"/>
        <v>87</v>
      </c>
      <c r="AZ22" s="209">
        <v>0.6</v>
      </c>
      <c r="BA22" s="73" t="s">
        <v>224</v>
      </c>
      <c r="BB22" s="112">
        <v>165</v>
      </c>
      <c r="BC22" s="112">
        <v>20</v>
      </c>
      <c r="BD22" s="112">
        <f t="shared" si="6"/>
        <v>87</v>
      </c>
      <c r="BE22" s="209">
        <v>0.6</v>
      </c>
      <c r="BF22" s="73" t="s">
        <v>224</v>
      </c>
      <c r="BG22" s="112">
        <v>165</v>
      </c>
      <c r="BH22" s="112">
        <v>20</v>
      </c>
      <c r="BI22" s="112">
        <f t="shared" si="7"/>
        <v>87</v>
      </c>
      <c r="BJ22" s="209">
        <v>0.6</v>
      </c>
      <c r="BK22" s="73" t="s">
        <v>224</v>
      </c>
      <c r="BL22" s="112">
        <v>165</v>
      </c>
      <c r="BM22" s="112">
        <v>20</v>
      </c>
      <c r="BN22" s="112">
        <f t="shared" si="8"/>
        <v>87</v>
      </c>
      <c r="BO22" s="209">
        <v>0.6</v>
      </c>
    </row>
    <row r="23" spans="3:67" ht="15" customHeight="1" x14ac:dyDescent="0.55000000000000004">
      <c r="C23" s="45" t="s">
        <v>225</v>
      </c>
      <c r="D23" s="113">
        <v>165</v>
      </c>
      <c r="E23" s="113">
        <v>20</v>
      </c>
      <c r="F23" s="113">
        <f>ROUND((D23-E23)*G23,0)</f>
        <v>131</v>
      </c>
      <c r="G23" s="175">
        <v>0.9</v>
      </c>
      <c r="H23" s="45" t="s">
        <v>225</v>
      </c>
      <c r="I23" s="113">
        <v>165</v>
      </c>
      <c r="J23" s="113">
        <v>20</v>
      </c>
      <c r="K23" s="113">
        <f>ROUND((I23-J23)*L23,0)</f>
        <v>131</v>
      </c>
      <c r="L23" s="175">
        <v>0.9</v>
      </c>
      <c r="M23" s="45" t="s">
        <v>225</v>
      </c>
      <c r="N23" s="113">
        <v>165</v>
      </c>
      <c r="O23" s="113">
        <v>20</v>
      </c>
      <c r="P23" s="113">
        <f>ROUND((N23-O23)*Q23,0)</f>
        <v>131</v>
      </c>
      <c r="Q23" s="175">
        <v>0.9</v>
      </c>
      <c r="R23" s="45" t="s">
        <v>225</v>
      </c>
      <c r="S23" s="113">
        <v>165</v>
      </c>
      <c r="T23" s="113">
        <v>20</v>
      </c>
      <c r="U23" s="113">
        <f>ROUND((S23-T23)*V23,0)</f>
        <v>131</v>
      </c>
      <c r="V23" s="175">
        <v>0.9</v>
      </c>
      <c r="W23" s="45" t="s">
        <v>225</v>
      </c>
      <c r="X23" s="113">
        <v>165</v>
      </c>
      <c r="Y23" s="113">
        <v>20</v>
      </c>
      <c r="Z23" s="113">
        <f t="shared" si="0"/>
        <v>131</v>
      </c>
      <c r="AA23" s="175">
        <v>0.9</v>
      </c>
      <c r="AB23" s="45" t="s">
        <v>225</v>
      </c>
      <c r="AC23" s="113">
        <v>165</v>
      </c>
      <c r="AD23" s="113">
        <v>20</v>
      </c>
      <c r="AE23" s="113">
        <f t="shared" si="1"/>
        <v>131</v>
      </c>
      <c r="AF23" s="175">
        <v>0.9</v>
      </c>
      <c r="AG23" s="45" t="s">
        <v>225</v>
      </c>
      <c r="AH23" s="113">
        <v>165</v>
      </c>
      <c r="AI23" s="113">
        <v>20</v>
      </c>
      <c r="AJ23" s="113">
        <f t="shared" si="2"/>
        <v>131</v>
      </c>
      <c r="AK23" s="175">
        <v>0.9</v>
      </c>
      <c r="AL23" s="45" t="s">
        <v>225</v>
      </c>
      <c r="AM23" s="113">
        <v>165</v>
      </c>
      <c r="AN23" s="113">
        <v>20</v>
      </c>
      <c r="AO23" s="113">
        <f t="shared" si="3"/>
        <v>131</v>
      </c>
      <c r="AP23" s="175">
        <v>0.9</v>
      </c>
      <c r="AQ23" s="45" t="s">
        <v>225</v>
      </c>
      <c r="AR23" s="113">
        <v>165</v>
      </c>
      <c r="AS23" s="113">
        <v>20</v>
      </c>
      <c r="AT23" s="113">
        <f t="shared" si="4"/>
        <v>131</v>
      </c>
      <c r="AU23" s="175">
        <v>0.9</v>
      </c>
      <c r="AV23" s="45" t="s">
        <v>225</v>
      </c>
      <c r="AW23" s="113">
        <v>165</v>
      </c>
      <c r="AX23" s="113">
        <v>20</v>
      </c>
      <c r="AY23" s="113">
        <f t="shared" si="5"/>
        <v>131</v>
      </c>
      <c r="AZ23" s="175">
        <v>0.9</v>
      </c>
      <c r="BA23" s="45" t="s">
        <v>225</v>
      </c>
      <c r="BB23" s="113">
        <v>165</v>
      </c>
      <c r="BC23" s="113">
        <v>20</v>
      </c>
      <c r="BD23" s="113">
        <f t="shared" si="6"/>
        <v>131</v>
      </c>
      <c r="BE23" s="175">
        <v>0.9</v>
      </c>
      <c r="BF23" s="45" t="s">
        <v>225</v>
      </c>
      <c r="BG23" s="113">
        <v>165</v>
      </c>
      <c r="BH23" s="113">
        <v>20</v>
      </c>
      <c r="BI23" s="113">
        <f t="shared" si="7"/>
        <v>131</v>
      </c>
      <c r="BJ23" s="175">
        <v>0.9</v>
      </c>
      <c r="BK23" s="45" t="s">
        <v>225</v>
      </c>
      <c r="BL23" s="113">
        <v>165</v>
      </c>
      <c r="BM23" s="113">
        <v>20</v>
      </c>
      <c r="BN23" s="113">
        <f t="shared" si="8"/>
        <v>131</v>
      </c>
      <c r="BO23" s="175">
        <v>0.9</v>
      </c>
    </row>
    <row r="24" spans="3:67" ht="15" customHeight="1" x14ac:dyDescent="0.55000000000000004">
      <c r="C24" s="45" t="s">
        <v>226</v>
      </c>
      <c r="D24" s="113">
        <v>165</v>
      </c>
      <c r="E24" s="113">
        <v>50</v>
      </c>
      <c r="F24" s="113">
        <f>ROUND((D24-E24)*G24,0)</f>
        <v>81</v>
      </c>
      <c r="G24" s="175">
        <v>0.7</v>
      </c>
      <c r="H24" s="45" t="s">
        <v>226</v>
      </c>
      <c r="I24" s="113">
        <v>165</v>
      </c>
      <c r="J24" s="113">
        <v>50</v>
      </c>
      <c r="K24" s="113">
        <f>ROUND((I24-J24)*L24,0)</f>
        <v>81</v>
      </c>
      <c r="L24" s="175">
        <v>0.7</v>
      </c>
      <c r="M24" s="45" t="s">
        <v>226</v>
      </c>
      <c r="N24" s="113">
        <v>165</v>
      </c>
      <c r="O24" s="113">
        <v>50</v>
      </c>
      <c r="P24" s="113">
        <f>ROUND((N24-O24)*Q24,0)</f>
        <v>81</v>
      </c>
      <c r="Q24" s="175">
        <v>0.7</v>
      </c>
      <c r="R24" s="45" t="s">
        <v>226</v>
      </c>
      <c r="S24" s="113">
        <v>165</v>
      </c>
      <c r="T24" s="113">
        <v>50</v>
      </c>
      <c r="U24" s="113">
        <f>ROUND((S24-T24)*V24,0)</f>
        <v>81</v>
      </c>
      <c r="V24" s="175">
        <v>0.7</v>
      </c>
      <c r="W24" s="73" t="s">
        <v>226</v>
      </c>
      <c r="X24" s="112">
        <v>165</v>
      </c>
      <c r="Y24" s="112">
        <v>50</v>
      </c>
      <c r="Z24" s="112">
        <f t="shared" si="0"/>
        <v>81</v>
      </c>
      <c r="AA24" s="209">
        <v>0.7</v>
      </c>
      <c r="AB24" s="73" t="s">
        <v>226</v>
      </c>
      <c r="AC24" s="112">
        <v>165</v>
      </c>
      <c r="AD24" s="112">
        <v>50</v>
      </c>
      <c r="AE24" s="112">
        <f t="shared" si="1"/>
        <v>81</v>
      </c>
      <c r="AF24" s="209">
        <v>0.7</v>
      </c>
      <c r="AG24" s="73" t="s">
        <v>226</v>
      </c>
      <c r="AH24" s="112">
        <v>165</v>
      </c>
      <c r="AI24" s="112">
        <v>50</v>
      </c>
      <c r="AJ24" s="112">
        <f t="shared" si="2"/>
        <v>81</v>
      </c>
      <c r="AK24" s="209">
        <v>0.7</v>
      </c>
      <c r="AL24" s="73" t="s">
        <v>226</v>
      </c>
      <c r="AM24" s="112">
        <v>165</v>
      </c>
      <c r="AN24" s="112">
        <v>50</v>
      </c>
      <c r="AO24" s="112">
        <f t="shared" si="3"/>
        <v>81</v>
      </c>
      <c r="AP24" s="209">
        <v>0.7</v>
      </c>
      <c r="AQ24" s="73" t="s">
        <v>226</v>
      </c>
      <c r="AR24" s="112">
        <v>165</v>
      </c>
      <c r="AS24" s="112">
        <v>50</v>
      </c>
      <c r="AT24" s="112">
        <f t="shared" si="4"/>
        <v>81</v>
      </c>
      <c r="AU24" s="209">
        <v>0.7</v>
      </c>
      <c r="AV24" s="73" t="s">
        <v>226</v>
      </c>
      <c r="AW24" s="112">
        <v>165</v>
      </c>
      <c r="AX24" s="112">
        <v>50</v>
      </c>
      <c r="AY24" s="112">
        <f t="shared" si="5"/>
        <v>81</v>
      </c>
      <c r="AZ24" s="209">
        <v>0.7</v>
      </c>
      <c r="BA24" s="73" t="s">
        <v>226</v>
      </c>
      <c r="BB24" s="112">
        <v>165</v>
      </c>
      <c r="BC24" s="112">
        <v>50</v>
      </c>
      <c r="BD24" s="112">
        <f t="shared" si="6"/>
        <v>81</v>
      </c>
      <c r="BE24" s="209">
        <v>0.7</v>
      </c>
      <c r="BF24" s="73" t="s">
        <v>226</v>
      </c>
      <c r="BG24" s="112">
        <v>165</v>
      </c>
      <c r="BH24" s="112">
        <v>50</v>
      </c>
      <c r="BI24" s="112">
        <f t="shared" si="7"/>
        <v>81</v>
      </c>
      <c r="BJ24" s="209">
        <v>0.7</v>
      </c>
      <c r="BK24" s="73" t="s">
        <v>226</v>
      </c>
      <c r="BL24" s="112">
        <v>165</v>
      </c>
      <c r="BM24" s="112">
        <v>50</v>
      </c>
      <c r="BN24" s="112">
        <f t="shared" si="8"/>
        <v>81</v>
      </c>
      <c r="BO24" s="209">
        <v>0.7</v>
      </c>
    </row>
    <row r="25" spans="3:67" ht="15" customHeight="1" x14ac:dyDescent="0.55000000000000004">
      <c r="C25" s="45" t="s">
        <v>227</v>
      </c>
      <c r="D25" s="113">
        <v>200</v>
      </c>
      <c r="E25" s="113">
        <v>10</v>
      </c>
      <c r="F25" s="113">
        <f>ROUND((D25-E25)*G25,0)</f>
        <v>124</v>
      </c>
      <c r="G25" s="175">
        <v>0.65</v>
      </c>
      <c r="H25" s="45" t="s">
        <v>227</v>
      </c>
      <c r="I25" s="113">
        <v>200</v>
      </c>
      <c r="J25" s="113">
        <v>10</v>
      </c>
      <c r="K25" s="113">
        <f>ROUND((I25-J25)*L25,0)</f>
        <v>124</v>
      </c>
      <c r="L25" s="175">
        <v>0.65</v>
      </c>
      <c r="M25" s="45" t="s">
        <v>227</v>
      </c>
      <c r="N25" s="113">
        <v>200</v>
      </c>
      <c r="O25" s="113">
        <v>10</v>
      </c>
      <c r="P25" s="113">
        <f>ROUND((N25-O25)*Q25,0)</f>
        <v>124</v>
      </c>
      <c r="Q25" s="175">
        <v>0.65</v>
      </c>
      <c r="R25" s="45" t="s">
        <v>227</v>
      </c>
      <c r="S25" s="113">
        <v>200</v>
      </c>
      <c r="T25" s="113">
        <v>10</v>
      </c>
      <c r="U25" s="113">
        <f>ROUND((S25-T25)*V25,0)</f>
        <v>124</v>
      </c>
      <c r="V25" s="175">
        <v>0.65</v>
      </c>
      <c r="W25" s="45" t="s">
        <v>227</v>
      </c>
      <c r="X25" s="113">
        <v>200</v>
      </c>
      <c r="Y25" s="113">
        <v>10</v>
      </c>
      <c r="Z25" s="113">
        <f t="shared" si="0"/>
        <v>133</v>
      </c>
      <c r="AA25" s="175">
        <v>0.7</v>
      </c>
      <c r="AB25" s="45" t="s">
        <v>227</v>
      </c>
      <c r="AC25" s="113">
        <v>200</v>
      </c>
      <c r="AD25" s="113">
        <v>10</v>
      </c>
      <c r="AE25" s="113">
        <f t="shared" si="1"/>
        <v>133</v>
      </c>
      <c r="AF25" s="175">
        <v>0.7</v>
      </c>
      <c r="AG25" s="45" t="s">
        <v>227</v>
      </c>
      <c r="AH25" s="113">
        <v>200</v>
      </c>
      <c r="AI25" s="113">
        <v>10</v>
      </c>
      <c r="AJ25" s="113">
        <f t="shared" si="2"/>
        <v>143</v>
      </c>
      <c r="AK25" s="175">
        <v>0.75</v>
      </c>
      <c r="AL25" s="45" t="s">
        <v>227</v>
      </c>
      <c r="AM25" s="113">
        <v>200</v>
      </c>
      <c r="AN25" s="113">
        <v>10</v>
      </c>
      <c r="AO25" s="113">
        <f>ROUND((AM25-AN25)*AP25,0)</f>
        <v>143</v>
      </c>
      <c r="AP25" s="175">
        <v>0.75</v>
      </c>
      <c r="AQ25" s="45" t="s">
        <v>227</v>
      </c>
      <c r="AR25" s="113">
        <v>200</v>
      </c>
      <c r="AS25" s="113">
        <v>10</v>
      </c>
      <c r="AT25" s="113">
        <f>ROUND((AR25-AS25)*AU25,0)</f>
        <v>143</v>
      </c>
      <c r="AU25" s="175">
        <v>0.75</v>
      </c>
      <c r="AV25" s="45" t="s">
        <v>227</v>
      </c>
      <c r="AW25" s="113">
        <v>200</v>
      </c>
      <c r="AX25" s="113">
        <v>10</v>
      </c>
      <c r="AY25" s="113">
        <f>ROUND((AW25-AX25)*AZ25,0)</f>
        <v>124</v>
      </c>
      <c r="AZ25" s="175">
        <v>0.65</v>
      </c>
      <c r="BA25" s="45" t="s">
        <v>227</v>
      </c>
      <c r="BB25" s="113">
        <v>200</v>
      </c>
      <c r="BC25" s="113">
        <v>10</v>
      </c>
      <c r="BD25" s="113">
        <f>ROUND((BB25-BC25)*BE25,0)</f>
        <v>124</v>
      </c>
      <c r="BE25" s="175">
        <v>0.65</v>
      </c>
      <c r="BF25" s="45" t="s">
        <v>227</v>
      </c>
      <c r="BG25" s="113">
        <v>200</v>
      </c>
      <c r="BH25" s="113">
        <v>10</v>
      </c>
      <c r="BI25" s="113">
        <f>ROUND((BG25-BH25)*BJ25,0)</f>
        <v>124</v>
      </c>
      <c r="BJ25" s="175">
        <v>0.65</v>
      </c>
      <c r="BK25" s="45" t="s">
        <v>227</v>
      </c>
      <c r="BL25" s="113">
        <v>200</v>
      </c>
      <c r="BM25" s="113">
        <v>10</v>
      </c>
      <c r="BN25" s="113">
        <f>ROUND((BL25-BM25)*BO25,0)</f>
        <v>124</v>
      </c>
      <c r="BO25" s="175">
        <v>0.65</v>
      </c>
    </row>
    <row r="26" spans="3:67" ht="15" customHeight="1" x14ac:dyDescent="0.55000000000000004">
      <c r="C26" s="45" t="s">
        <v>230</v>
      </c>
      <c r="D26" s="113">
        <v>165</v>
      </c>
      <c r="E26" s="113">
        <v>20</v>
      </c>
      <c r="F26" s="113">
        <f t="shared" ref="F26:F31" si="9">ROUND((D26-E26)*G26,0)</f>
        <v>73</v>
      </c>
      <c r="G26" s="175">
        <v>0.5</v>
      </c>
      <c r="H26" s="45" t="s">
        <v>230</v>
      </c>
      <c r="I26" s="113">
        <v>165</v>
      </c>
      <c r="J26" s="113">
        <v>20</v>
      </c>
      <c r="K26" s="113">
        <f t="shared" ref="K26:K31" si="10">ROUND((I26-J26)*L26,0)</f>
        <v>73</v>
      </c>
      <c r="L26" s="175">
        <v>0.5</v>
      </c>
      <c r="M26" s="45" t="s">
        <v>230</v>
      </c>
      <c r="N26" s="113">
        <v>165</v>
      </c>
      <c r="O26" s="113">
        <v>20</v>
      </c>
      <c r="P26" s="113">
        <f t="shared" ref="P26:P31" si="11">ROUND((N26-O26)*Q26,0)</f>
        <v>73</v>
      </c>
      <c r="Q26" s="175">
        <v>0.5</v>
      </c>
      <c r="R26" s="45" t="s">
        <v>230</v>
      </c>
      <c r="S26" s="113">
        <v>165</v>
      </c>
      <c r="T26" s="113">
        <v>20</v>
      </c>
      <c r="U26" s="113">
        <f t="shared" ref="U26:U31" si="12">ROUND((S26-T26)*V26,0)</f>
        <v>73</v>
      </c>
      <c r="V26" s="175">
        <v>0.5</v>
      </c>
      <c r="W26" s="73" t="s">
        <v>230</v>
      </c>
      <c r="X26" s="112">
        <v>165</v>
      </c>
      <c r="Y26" s="112">
        <v>20</v>
      </c>
      <c r="Z26" s="112">
        <f t="shared" ref="Z26:Z31" si="13">ROUND((X26-Y26)*AA26,0)</f>
        <v>87</v>
      </c>
      <c r="AA26" s="209">
        <v>0.6</v>
      </c>
      <c r="AB26" s="73" t="s">
        <v>230</v>
      </c>
      <c r="AC26" s="112">
        <v>165</v>
      </c>
      <c r="AD26" s="112">
        <v>20</v>
      </c>
      <c r="AE26" s="112">
        <f t="shared" ref="AE26:AE31" si="14">ROUND((AC26-AD26)*AF26,0)</f>
        <v>94</v>
      </c>
      <c r="AF26" s="209">
        <v>0.65</v>
      </c>
      <c r="AG26" s="73" t="s">
        <v>230</v>
      </c>
      <c r="AH26" s="112">
        <v>165</v>
      </c>
      <c r="AI26" s="112">
        <v>20</v>
      </c>
      <c r="AJ26" s="112">
        <f t="shared" ref="AJ26:AJ31" si="15">ROUND((AH26-AI26)*AK26,0)</f>
        <v>102</v>
      </c>
      <c r="AK26" s="209">
        <v>0.7</v>
      </c>
      <c r="AL26" s="73" t="s">
        <v>230</v>
      </c>
      <c r="AM26" s="112">
        <v>165</v>
      </c>
      <c r="AN26" s="112">
        <v>20</v>
      </c>
      <c r="AO26" s="112">
        <f>ROUND((AM26-AN26)*AP26,0)</f>
        <v>102</v>
      </c>
      <c r="AP26" s="209">
        <v>0.7</v>
      </c>
      <c r="AQ26" s="73" t="s">
        <v>230</v>
      </c>
      <c r="AR26" s="112">
        <v>165</v>
      </c>
      <c r="AS26" s="112">
        <v>20</v>
      </c>
      <c r="AT26" s="112">
        <f>ROUND((AR26-AS26)*AU26,0)</f>
        <v>109</v>
      </c>
      <c r="AU26" s="209">
        <v>0.75</v>
      </c>
      <c r="AV26" s="73" t="s">
        <v>230</v>
      </c>
      <c r="AW26" s="112">
        <v>165</v>
      </c>
      <c r="AX26" s="112">
        <v>20</v>
      </c>
      <c r="AY26" s="112">
        <f>ROUND((AW26-AX26)*AZ26,0)</f>
        <v>109</v>
      </c>
      <c r="AZ26" s="209">
        <v>0.75</v>
      </c>
      <c r="BA26" s="73" t="s">
        <v>230</v>
      </c>
      <c r="BB26" s="112">
        <v>165</v>
      </c>
      <c r="BC26" s="112">
        <v>20</v>
      </c>
      <c r="BD26" s="112">
        <f t="shared" ref="BD26:BD31" si="16">ROUND((BB26-BC26)*BE26,0)</f>
        <v>109</v>
      </c>
      <c r="BE26" s="209">
        <v>0.75</v>
      </c>
      <c r="BF26" s="73" t="s">
        <v>230</v>
      </c>
      <c r="BG26" s="112">
        <v>165</v>
      </c>
      <c r="BH26" s="112">
        <v>20</v>
      </c>
      <c r="BI26" s="112">
        <f t="shared" ref="BI26:BI31" si="17">ROUND((BG26-BH26)*BJ26,0)</f>
        <v>116</v>
      </c>
      <c r="BJ26" s="209">
        <v>0.8</v>
      </c>
      <c r="BK26" s="73" t="s">
        <v>230</v>
      </c>
      <c r="BL26" s="112">
        <v>165</v>
      </c>
      <c r="BM26" s="112">
        <v>20</v>
      </c>
      <c r="BN26" s="112">
        <f t="shared" ref="BN26:BN31" si="18">ROUND((BL26-BM26)*BO26,0)</f>
        <v>116</v>
      </c>
      <c r="BO26" s="209">
        <v>0.8</v>
      </c>
    </row>
    <row r="27" spans="3:67" ht="15" customHeight="1" x14ac:dyDescent="0.55000000000000004">
      <c r="C27" s="45" t="s">
        <v>231</v>
      </c>
      <c r="D27" s="113">
        <v>165</v>
      </c>
      <c r="E27" s="113">
        <v>20</v>
      </c>
      <c r="F27" s="113">
        <f t="shared" si="9"/>
        <v>15</v>
      </c>
      <c r="G27" s="175">
        <v>0.1</v>
      </c>
      <c r="H27" s="45" t="s">
        <v>231</v>
      </c>
      <c r="I27" s="113">
        <v>165</v>
      </c>
      <c r="J27" s="113">
        <v>20</v>
      </c>
      <c r="K27" s="113">
        <f t="shared" si="10"/>
        <v>29</v>
      </c>
      <c r="L27" s="175">
        <v>0.2</v>
      </c>
      <c r="M27" s="45" t="s">
        <v>231</v>
      </c>
      <c r="N27" s="113">
        <v>165</v>
      </c>
      <c r="O27" s="113">
        <v>20</v>
      </c>
      <c r="P27" s="113">
        <f t="shared" si="11"/>
        <v>29</v>
      </c>
      <c r="Q27" s="175">
        <v>0.2</v>
      </c>
      <c r="R27" s="45" t="s">
        <v>231</v>
      </c>
      <c r="S27" s="113">
        <v>165</v>
      </c>
      <c r="T27" s="113">
        <v>20</v>
      </c>
      <c r="U27" s="113">
        <f t="shared" si="12"/>
        <v>44</v>
      </c>
      <c r="V27" s="175">
        <v>0.3</v>
      </c>
      <c r="W27" s="45" t="s">
        <v>231</v>
      </c>
      <c r="X27" s="113">
        <v>165</v>
      </c>
      <c r="Y27" s="113">
        <v>20</v>
      </c>
      <c r="Z27" s="113">
        <f t="shared" si="13"/>
        <v>58</v>
      </c>
      <c r="AA27" s="175">
        <v>0.4</v>
      </c>
      <c r="AB27" s="45" t="s">
        <v>231</v>
      </c>
      <c r="AC27" s="113">
        <v>165</v>
      </c>
      <c r="AD27" s="113">
        <v>20</v>
      </c>
      <c r="AE27" s="113">
        <f t="shared" si="14"/>
        <v>58</v>
      </c>
      <c r="AF27" s="175">
        <v>0.4</v>
      </c>
      <c r="AG27" s="45" t="s">
        <v>231</v>
      </c>
      <c r="AH27" s="113">
        <v>165</v>
      </c>
      <c r="AI27" s="113">
        <v>20</v>
      </c>
      <c r="AJ27" s="113">
        <f t="shared" si="15"/>
        <v>73</v>
      </c>
      <c r="AK27" s="175">
        <v>0.5</v>
      </c>
      <c r="AL27" s="45" t="s">
        <v>231</v>
      </c>
      <c r="AM27" s="113">
        <v>165</v>
      </c>
      <c r="AN27" s="113">
        <v>20</v>
      </c>
      <c r="AO27" s="113">
        <f>ROUND((AM27-AN27)*AP27,0)</f>
        <v>73</v>
      </c>
      <c r="AP27" s="175">
        <v>0.5</v>
      </c>
      <c r="AQ27" s="45" t="s">
        <v>231</v>
      </c>
      <c r="AR27" s="113">
        <v>165</v>
      </c>
      <c r="AS27" s="113">
        <v>20</v>
      </c>
      <c r="AT27" s="113">
        <v>60</v>
      </c>
      <c r="AU27" s="175">
        <v>0.55000000000000004</v>
      </c>
      <c r="AV27" s="45" t="s">
        <v>231</v>
      </c>
      <c r="AW27" s="113">
        <v>165</v>
      </c>
      <c r="AX27" s="113">
        <v>20</v>
      </c>
      <c r="AY27" s="113">
        <v>15</v>
      </c>
      <c r="AZ27" s="175">
        <v>0.55000000000000004</v>
      </c>
      <c r="BA27" s="45" t="s">
        <v>231</v>
      </c>
      <c r="BB27" s="113">
        <v>165</v>
      </c>
      <c r="BC27" s="113">
        <v>20</v>
      </c>
      <c r="BD27" s="113">
        <f t="shared" si="16"/>
        <v>87</v>
      </c>
      <c r="BE27" s="175">
        <v>0.6</v>
      </c>
      <c r="BF27" s="45" t="s">
        <v>231</v>
      </c>
      <c r="BG27" s="113">
        <v>165</v>
      </c>
      <c r="BH27" s="113">
        <v>20</v>
      </c>
      <c r="BI27" s="113">
        <f t="shared" si="17"/>
        <v>87</v>
      </c>
      <c r="BJ27" s="175">
        <v>0.6</v>
      </c>
      <c r="BK27" s="45" t="s">
        <v>231</v>
      </c>
      <c r="BL27" s="113">
        <v>165</v>
      </c>
      <c r="BM27" s="113">
        <v>20</v>
      </c>
      <c r="BN27" s="113">
        <f t="shared" si="18"/>
        <v>94</v>
      </c>
      <c r="BO27" s="175">
        <v>0.65</v>
      </c>
    </row>
    <row r="28" spans="3:67" ht="15" customHeight="1" x14ac:dyDescent="0.55000000000000004">
      <c r="C28" s="45"/>
      <c r="D28" s="162"/>
      <c r="E28" s="113"/>
      <c r="F28" s="113">
        <f t="shared" si="9"/>
        <v>0</v>
      </c>
      <c r="G28" s="175"/>
      <c r="H28" s="51" t="s">
        <v>232</v>
      </c>
      <c r="I28" s="113">
        <v>200</v>
      </c>
      <c r="J28" s="113">
        <v>0</v>
      </c>
      <c r="K28" s="113">
        <f t="shared" si="10"/>
        <v>0</v>
      </c>
      <c r="L28" s="175"/>
      <c r="M28" s="45" t="s">
        <v>232</v>
      </c>
      <c r="N28" s="113">
        <v>200</v>
      </c>
      <c r="O28" s="113">
        <v>0</v>
      </c>
      <c r="P28" s="113">
        <f t="shared" si="11"/>
        <v>20</v>
      </c>
      <c r="Q28" s="175">
        <v>0.1</v>
      </c>
      <c r="R28" s="45" t="s">
        <v>232</v>
      </c>
      <c r="S28" s="113">
        <v>200</v>
      </c>
      <c r="T28" s="113">
        <v>0</v>
      </c>
      <c r="U28" s="113">
        <f t="shared" si="12"/>
        <v>40</v>
      </c>
      <c r="V28" s="175">
        <v>0.2</v>
      </c>
      <c r="W28" s="73" t="s">
        <v>232</v>
      </c>
      <c r="X28" s="112">
        <v>200</v>
      </c>
      <c r="Y28" s="112">
        <v>10</v>
      </c>
      <c r="Z28" s="112">
        <f t="shared" si="13"/>
        <v>57</v>
      </c>
      <c r="AA28" s="209">
        <v>0.3</v>
      </c>
      <c r="AB28" s="73" t="s">
        <v>232</v>
      </c>
      <c r="AC28" s="112">
        <v>200</v>
      </c>
      <c r="AD28" s="112">
        <v>10</v>
      </c>
      <c r="AE28" s="112">
        <f t="shared" si="14"/>
        <v>76</v>
      </c>
      <c r="AF28" s="209">
        <v>0.4</v>
      </c>
      <c r="AG28" s="73" t="s">
        <v>232</v>
      </c>
      <c r="AH28" s="112">
        <v>200</v>
      </c>
      <c r="AI28" s="112">
        <v>10</v>
      </c>
      <c r="AJ28" s="112">
        <f t="shared" si="15"/>
        <v>95</v>
      </c>
      <c r="AK28" s="209">
        <v>0.5</v>
      </c>
      <c r="AL28" s="73" t="s">
        <v>232</v>
      </c>
      <c r="AM28" s="112">
        <v>200</v>
      </c>
      <c r="AN28" s="112">
        <v>10</v>
      </c>
      <c r="AO28" s="112">
        <f>ROUND((AM28-AN28)*AP28,0)</f>
        <v>95</v>
      </c>
      <c r="AP28" s="209">
        <v>0.5</v>
      </c>
      <c r="AQ28" s="73" t="s">
        <v>232</v>
      </c>
      <c r="AR28" s="112">
        <v>200</v>
      </c>
      <c r="AS28" s="112">
        <v>10</v>
      </c>
      <c r="AT28" s="112">
        <f>ROUND((AR28-AS28)*AU28,0)</f>
        <v>105</v>
      </c>
      <c r="AU28" s="209">
        <v>0.55000000000000004</v>
      </c>
      <c r="AV28" s="73" t="s">
        <v>232</v>
      </c>
      <c r="AW28" s="112">
        <v>200</v>
      </c>
      <c r="AX28" s="112">
        <v>10</v>
      </c>
      <c r="AY28" s="112">
        <f>ROUND((AW28-AX28)*AZ28,0)</f>
        <v>114</v>
      </c>
      <c r="AZ28" s="209">
        <v>0.6</v>
      </c>
      <c r="BA28" s="73" t="s">
        <v>232</v>
      </c>
      <c r="BB28" s="112">
        <v>200</v>
      </c>
      <c r="BC28" s="112">
        <v>10</v>
      </c>
      <c r="BD28" s="112">
        <f t="shared" si="16"/>
        <v>124</v>
      </c>
      <c r="BE28" s="209">
        <v>0.65</v>
      </c>
      <c r="BF28" s="73" t="s">
        <v>232</v>
      </c>
      <c r="BG28" s="112">
        <v>200</v>
      </c>
      <c r="BH28" s="112">
        <v>10</v>
      </c>
      <c r="BI28" s="112">
        <f t="shared" si="17"/>
        <v>124</v>
      </c>
      <c r="BJ28" s="209">
        <v>0.65</v>
      </c>
      <c r="BK28" s="73" t="s">
        <v>232</v>
      </c>
      <c r="BL28" s="112">
        <v>200</v>
      </c>
      <c r="BM28" s="112">
        <v>10</v>
      </c>
      <c r="BN28" s="112">
        <f t="shared" si="18"/>
        <v>133</v>
      </c>
      <c r="BO28" s="209">
        <v>0.7</v>
      </c>
    </row>
    <row r="29" spans="3:67" ht="15" customHeight="1" x14ac:dyDescent="0.55000000000000004">
      <c r="C29" s="45"/>
      <c r="D29" s="162"/>
      <c r="E29" s="113"/>
      <c r="F29" s="113">
        <f t="shared" si="9"/>
        <v>0</v>
      </c>
      <c r="G29" s="175"/>
      <c r="H29" s="45"/>
      <c r="I29" s="113"/>
      <c r="J29" s="113"/>
      <c r="K29" s="113">
        <f t="shared" si="10"/>
        <v>0</v>
      </c>
      <c r="L29" s="175"/>
      <c r="M29" s="45"/>
      <c r="N29" s="113"/>
      <c r="O29" s="113"/>
      <c r="P29" s="113">
        <f t="shared" si="11"/>
        <v>0</v>
      </c>
      <c r="Q29" s="175"/>
      <c r="R29" s="45"/>
      <c r="S29" s="113"/>
      <c r="T29" s="113"/>
      <c r="U29" s="113">
        <f t="shared" si="12"/>
        <v>0</v>
      </c>
      <c r="V29" s="175"/>
      <c r="W29" s="51" t="s">
        <v>376</v>
      </c>
      <c r="X29" s="113">
        <v>100</v>
      </c>
      <c r="Y29" s="113">
        <v>0</v>
      </c>
      <c r="Z29" s="113">
        <f t="shared" si="13"/>
        <v>0</v>
      </c>
      <c r="AA29" s="175">
        <v>0</v>
      </c>
      <c r="AB29" s="51" t="s">
        <v>306</v>
      </c>
      <c r="AC29" s="113">
        <v>130</v>
      </c>
      <c r="AD29" s="113">
        <v>0</v>
      </c>
      <c r="AE29" s="113">
        <f t="shared" si="14"/>
        <v>124</v>
      </c>
      <c r="AF29" s="175">
        <v>0.95</v>
      </c>
      <c r="AG29" s="45" t="s">
        <v>306</v>
      </c>
      <c r="AH29" s="113">
        <v>130</v>
      </c>
      <c r="AI29" s="113">
        <v>4</v>
      </c>
      <c r="AJ29" s="113">
        <f t="shared" si="15"/>
        <v>120</v>
      </c>
      <c r="AK29" s="175">
        <v>0.95</v>
      </c>
      <c r="AL29" s="45" t="s">
        <v>306</v>
      </c>
      <c r="AM29" s="113">
        <v>130</v>
      </c>
      <c r="AN29" s="113">
        <v>4</v>
      </c>
      <c r="AO29" s="113">
        <f>ROUND((AM29-AN29)*AP29,0)</f>
        <v>120</v>
      </c>
      <c r="AP29" s="175">
        <v>0.95</v>
      </c>
      <c r="AQ29" s="45" t="s">
        <v>306</v>
      </c>
      <c r="AR29" s="113">
        <v>130</v>
      </c>
      <c r="AS29" s="113">
        <v>4</v>
      </c>
      <c r="AT29" s="113">
        <f>ROUND((AR29-AS29)*AU29,0)</f>
        <v>120</v>
      </c>
      <c r="AU29" s="175">
        <v>0.95</v>
      </c>
      <c r="AV29" s="45" t="s">
        <v>306</v>
      </c>
      <c r="AW29" s="113">
        <v>130</v>
      </c>
      <c r="AX29" s="113">
        <v>4</v>
      </c>
      <c r="AY29" s="113">
        <f>ROUND((AW29-AX29)*AZ29,0)</f>
        <v>120</v>
      </c>
      <c r="AZ29" s="175">
        <v>0.95</v>
      </c>
      <c r="BA29" s="45" t="s">
        <v>306</v>
      </c>
      <c r="BB29" s="113">
        <v>130</v>
      </c>
      <c r="BC29" s="113">
        <v>4</v>
      </c>
      <c r="BD29" s="113">
        <f t="shared" si="16"/>
        <v>120</v>
      </c>
      <c r="BE29" s="175">
        <v>0.95</v>
      </c>
      <c r="BF29" s="45" t="s">
        <v>306</v>
      </c>
      <c r="BG29" s="113">
        <v>130</v>
      </c>
      <c r="BH29" s="113">
        <v>4</v>
      </c>
      <c r="BI29" s="113">
        <f t="shared" si="17"/>
        <v>120</v>
      </c>
      <c r="BJ29" s="175">
        <v>0.95</v>
      </c>
      <c r="BK29" s="45" t="s">
        <v>306</v>
      </c>
      <c r="BL29" s="113">
        <v>130</v>
      </c>
      <c r="BM29" s="113">
        <v>4</v>
      </c>
      <c r="BN29" s="113">
        <f t="shared" si="18"/>
        <v>120</v>
      </c>
      <c r="BO29" s="175">
        <v>0.95</v>
      </c>
    </row>
    <row r="30" spans="3:67" ht="15" customHeight="1" x14ac:dyDescent="0.55000000000000004">
      <c r="C30" s="45"/>
      <c r="D30" s="162"/>
      <c r="E30" s="113"/>
      <c r="F30" s="113">
        <f t="shared" si="9"/>
        <v>0</v>
      </c>
      <c r="G30" s="175"/>
      <c r="H30" s="45"/>
      <c r="I30" s="113"/>
      <c r="J30" s="113"/>
      <c r="K30" s="113">
        <f t="shared" si="10"/>
        <v>0</v>
      </c>
      <c r="L30" s="175"/>
      <c r="M30" s="45"/>
      <c r="N30" s="113"/>
      <c r="O30" s="113"/>
      <c r="P30" s="113">
        <f t="shared" si="11"/>
        <v>0</v>
      </c>
      <c r="Q30" s="175"/>
      <c r="R30" s="45"/>
      <c r="S30" s="113"/>
      <c r="T30" s="113"/>
      <c r="U30" s="113">
        <f t="shared" si="12"/>
        <v>0</v>
      </c>
      <c r="V30" s="175"/>
      <c r="W30" s="51" t="s">
        <v>377</v>
      </c>
      <c r="X30" s="112">
        <v>100</v>
      </c>
      <c r="Y30" s="112">
        <v>0</v>
      </c>
      <c r="Z30" s="112">
        <f t="shared" si="13"/>
        <v>0</v>
      </c>
      <c r="AA30" s="209">
        <v>0</v>
      </c>
      <c r="AB30" s="73" t="s">
        <v>376</v>
      </c>
      <c r="AC30" s="112">
        <v>100</v>
      </c>
      <c r="AD30" s="112">
        <v>0</v>
      </c>
      <c r="AE30" s="112">
        <f t="shared" si="14"/>
        <v>10</v>
      </c>
      <c r="AF30" s="209">
        <v>0.1</v>
      </c>
      <c r="AG30" s="73" t="s">
        <v>376</v>
      </c>
      <c r="AH30" s="112">
        <v>100</v>
      </c>
      <c r="AI30" s="112">
        <v>0</v>
      </c>
      <c r="AJ30" s="112">
        <f t="shared" si="15"/>
        <v>10</v>
      </c>
      <c r="AK30" s="209">
        <v>0.1</v>
      </c>
      <c r="AL30" s="73" t="s">
        <v>376</v>
      </c>
      <c r="AM30" s="112">
        <v>100</v>
      </c>
      <c r="AN30" s="112">
        <v>0</v>
      </c>
      <c r="AO30" s="112">
        <v>20</v>
      </c>
      <c r="AP30" s="209">
        <v>0.2</v>
      </c>
      <c r="AQ30" s="73" t="s">
        <v>376</v>
      </c>
      <c r="AR30" s="112">
        <v>100</v>
      </c>
      <c r="AS30" s="112">
        <v>10</v>
      </c>
      <c r="AT30" s="112">
        <f>ROUND((AR30-AS30)*AU30,0)</f>
        <v>27</v>
      </c>
      <c r="AU30" s="209">
        <v>0.3</v>
      </c>
      <c r="AV30" s="73" t="s">
        <v>376</v>
      </c>
      <c r="AW30" s="112">
        <v>100</v>
      </c>
      <c r="AX30" s="112">
        <v>10</v>
      </c>
      <c r="AY30" s="112">
        <f>ROUND((AW30-AX30)*AZ30,0)</f>
        <v>36</v>
      </c>
      <c r="AZ30" s="209">
        <v>0.4</v>
      </c>
      <c r="BA30" s="73" t="s">
        <v>376</v>
      </c>
      <c r="BB30" s="112">
        <v>100</v>
      </c>
      <c r="BC30" s="112">
        <v>10</v>
      </c>
      <c r="BD30" s="112">
        <f t="shared" si="16"/>
        <v>45</v>
      </c>
      <c r="BE30" s="209">
        <v>0.5</v>
      </c>
      <c r="BF30" s="73" t="s">
        <v>376</v>
      </c>
      <c r="BG30" s="112">
        <v>100</v>
      </c>
      <c r="BH30" s="112">
        <v>10</v>
      </c>
      <c r="BI30" s="112">
        <f t="shared" si="17"/>
        <v>54</v>
      </c>
      <c r="BJ30" s="209">
        <v>0.6</v>
      </c>
      <c r="BK30" s="73" t="s">
        <v>376</v>
      </c>
      <c r="BL30" s="112">
        <v>100</v>
      </c>
      <c r="BM30" s="112">
        <v>10</v>
      </c>
      <c r="BN30" s="112">
        <f t="shared" si="18"/>
        <v>54</v>
      </c>
      <c r="BO30" s="209">
        <v>0.6</v>
      </c>
    </row>
    <row r="31" spans="3:67" ht="15" customHeight="1" x14ac:dyDescent="0.55000000000000004">
      <c r="C31" s="45"/>
      <c r="D31" s="162"/>
      <c r="E31" s="113"/>
      <c r="F31" s="113">
        <f t="shared" si="9"/>
        <v>0</v>
      </c>
      <c r="G31" s="175"/>
      <c r="H31" s="45"/>
      <c r="I31" s="113"/>
      <c r="J31" s="113"/>
      <c r="K31" s="113">
        <f t="shared" si="10"/>
        <v>0</v>
      </c>
      <c r="L31" s="175"/>
      <c r="M31" s="45"/>
      <c r="N31" s="113"/>
      <c r="O31" s="113"/>
      <c r="P31" s="113">
        <f t="shared" si="11"/>
        <v>0</v>
      </c>
      <c r="Q31" s="175"/>
      <c r="R31" s="45"/>
      <c r="S31" s="113"/>
      <c r="T31" s="113"/>
      <c r="U31" s="113">
        <f t="shared" si="12"/>
        <v>0</v>
      </c>
      <c r="V31" s="175"/>
      <c r="W31" s="45"/>
      <c r="X31" s="113"/>
      <c r="Y31" s="113"/>
      <c r="Z31" s="113">
        <f t="shared" si="13"/>
        <v>0</v>
      </c>
      <c r="AA31" s="175"/>
      <c r="AB31" s="45" t="s">
        <v>377</v>
      </c>
      <c r="AC31" s="113">
        <v>100</v>
      </c>
      <c r="AD31" s="113">
        <v>0</v>
      </c>
      <c r="AE31" s="113">
        <f t="shared" si="14"/>
        <v>10</v>
      </c>
      <c r="AF31" s="175">
        <v>0.1</v>
      </c>
      <c r="AG31" s="45" t="s">
        <v>377</v>
      </c>
      <c r="AH31" s="113">
        <v>100</v>
      </c>
      <c r="AI31" s="113">
        <v>0</v>
      </c>
      <c r="AJ31" s="113">
        <f t="shared" si="15"/>
        <v>10</v>
      </c>
      <c r="AK31" s="175">
        <v>0.1</v>
      </c>
      <c r="AL31" s="45" t="s">
        <v>377</v>
      </c>
      <c r="AM31" s="113">
        <v>100</v>
      </c>
      <c r="AN31" s="113">
        <v>0</v>
      </c>
      <c r="AO31" s="113">
        <v>20</v>
      </c>
      <c r="AP31" s="175">
        <v>0.2</v>
      </c>
      <c r="AQ31" s="45" t="s">
        <v>377</v>
      </c>
      <c r="AR31" s="113">
        <v>100</v>
      </c>
      <c r="AS31" s="113">
        <v>10</v>
      </c>
      <c r="AT31" s="113">
        <f>ROUND((AR31-AS31)*AU31,0)</f>
        <v>27</v>
      </c>
      <c r="AU31" s="175">
        <v>0.3</v>
      </c>
      <c r="AV31" s="45" t="s">
        <v>377</v>
      </c>
      <c r="AW31" s="113">
        <v>100</v>
      </c>
      <c r="AX31" s="113">
        <v>10</v>
      </c>
      <c r="AY31" s="113">
        <f>ROUND((AW31-AX31)*AZ31,0)</f>
        <v>36</v>
      </c>
      <c r="AZ31" s="175">
        <v>0.4</v>
      </c>
      <c r="BA31" s="45" t="s">
        <v>377</v>
      </c>
      <c r="BB31" s="113">
        <v>100</v>
      </c>
      <c r="BC31" s="113">
        <v>10</v>
      </c>
      <c r="BD31" s="113">
        <f t="shared" si="16"/>
        <v>45</v>
      </c>
      <c r="BE31" s="175">
        <v>0.5</v>
      </c>
      <c r="BF31" s="45" t="s">
        <v>377</v>
      </c>
      <c r="BG31" s="113">
        <v>100</v>
      </c>
      <c r="BH31" s="113">
        <v>10</v>
      </c>
      <c r="BI31" s="113">
        <f t="shared" si="17"/>
        <v>54</v>
      </c>
      <c r="BJ31" s="175">
        <v>0.6</v>
      </c>
      <c r="BK31" s="45" t="s">
        <v>377</v>
      </c>
      <c r="BL31" s="113">
        <v>100</v>
      </c>
      <c r="BM31" s="113">
        <v>10</v>
      </c>
      <c r="BN31" s="113">
        <f t="shared" si="18"/>
        <v>54</v>
      </c>
      <c r="BO31" s="175">
        <v>0.6</v>
      </c>
    </row>
    <row r="32" spans="3:67" ht="15" customHeight="1" x14ac:dyDescent="0.55000000000000004">
      <c r="G32"/>
      <c r="H32"/>
      <c r="I32"/>
      <c r="J32"/>
      <c r="K32"/>
    </row>
    <row r="33" spans="3:94" ht="10.5" customHeight="1" x14ac:dyDescent="0.55000000000000004">
      <c r="G33"/>
      <c r="H33"/>
      <c r="I33"/>
      <c r="J33"/>
      <c r="K33"/>
      <c r="W33" s="172" t="s">
        <v>8</v>
      </c>
      <c r="X33" s="173"/>
      <c r="Y33" s="173"/>
      <c r="Z33" s="173"/>
      <c r="AA33" s="174"/>
      <c r="AB33" s="172" t="s">
        <v>10</v>
      </c>
      <c r="AC33" s="173"/>
      <c r="AD33" s="173"/>
      <c r="AE33" s="173"/>
      <c r="AF33" s="174"/>
      <c r="AG33" s="172" t="s">
        <v>11</v>
      </c>
      <c r="AH33" s="173"/>
      <c r="AI33" s="173"/>
      <c r="AJ33" s="173"/>
      <c r="AK33" s="174"/>
      <c r="AL33" s="172" t="s">
        <v>12</v>
      </c>
      <c r="AM33" s="173"/>
      <c r="AN33" s="173"/>
      <c r="AO33" s="173"/>
      <c r="AP33" s="174"/>
      <c r="AQ33" s="172" t="s">
        <v>13</v>
      </c>
      <c r="AR33" s="173"/>
      <c r="AS33" s="173"/>
      <c r="AT33" s="173"/>
      <c r="AU33" s="174"/>
      <c r="AV33" s="172" t="s">
        <v>14</v>
      </c>
      <c r="AW33" s="173"/>
      <c r="AX33" s="173"/>
      <c r="AY33" s="173"/>
      <c r="AZ33" s="174"/>
      <c r="BA33" s="172" t="s">
        <v>15</v>
      </c>
      <c r="BB33" s="173"/>
      <c r="BC33" s="173"/>
      <c r="BD33" s="173"/>
      <c r="BE33" s="174"/>
      <c r="BF33" s="172" t="s">
        <v>16</v>
      </c>
      <c r="BG33" s="173"/>
      <c r="BH33" s="173"/>
      <c r="BI33" s="173"/>
      <c r="BJ33" s="174"/>
      <c r="BK33" s="172" t="s">
        <v>4</v>
      </c>
      <c r="BL33" s="173"/>
      <c r="BM33" s="173"/>
      <c r="BN33" s="173"/>
      <c r="BO33" s="174"/>
    </row>
    <row r="34" spans="3:94" ht="15" customHeight="1" x14ac:dyDescent="0.55000000000000004">
      <c r="C34" s="45"/>
      <c r="D34" s="162"/>
      <c r="E34" s="113"/>
      <c r="F34" s="113"/>
      <c r="G34" s="175"/>
      <c r="H34" s="45"/>
      <c r="I34" s="113"/>
      <c r="J34" s="113"/>
      <c r="K34" s="113"/>
      <c r="L34" s="175"/>
      <c r="M34" s="45"/>
      <c r="N34" s="113"/>
      <c r="O34" s="113"/>
      <c r="P34" s="113"/>
      <c r="Q34" s="175"/>
      <c r="R34" s="45"/>
      <c r="S34" s="113"/>
      <c r="T34" s="113"/>
      <c r="U34" s="113"/>
      <c r="V34" s="175"/>
      <c r="W34" s="178" t="s">
        <v>385</v>
      </c>
      <c r="X34" s="156" t="s">
        <v>386</v>
      </c>
      <c r="Y34" s="179" t="s">
        <v>387</v>
      </c>
      <c r="Z34" s="179" t="s">
        <v>384</v>
      </c>
      <c r="AA34" s="179" t="s">
        <v>383</v>
      </c>
      <c r="AB34" s="178" t="s">
        <v>385</v>
      </c>
      <c r="AC34" s="156" t="s">
        <v>386</v>
      </c>
      <c r="AD34" s="179" t="s">
        <v>387</v>
      </c>
      <c r="AE34" s="179" t="s">
        <v>384</v>
      </c>
      <c r="AF34" s="179" t="s">
        <v>383</v>
      </c>
      <c r="AG34" s="178" t="s">
        <v>385</v>
      </c>
      <c r="AH34" s="156" t="s">
        <v>386</v>
      </c>
      <c r="AI34" s="179" t="s">
        <v>387</v>
      </c>
      <c r="AJ34" s="179" t="s">
        <v>384</v>
      </c>
      <c r="AK34" s="179" t="s">
        <v>383</v>
      </c>
      <c r="AL34" s="178" t="s">
        <v>385</v>
      </c>
      <c r="AM34" s="156" t="s">
        <v>386</v>
      </c>
      <c r="AN34" s="179" t="s">
        <v>387</v>
      </c>
      <c r="AO34" s="179" t="s">
        <v>384</v>
      </c>
      <c r="AP34" s="179" t="s">
        <v>383</v>
      </c>
      <c r="AQ34" s="178" t="s">
        <v>385</v>
      </c>
      <c r="AR34" s="156" t="s">
        <v>386</v>
      </c>
      <c r="AS34" s="179" t="s">
        <v>387</v>
      </c>
      <c r="AT34" s="179" t="s">
        <v>384</v>
      </c>
      <c r="AU34" s="179" t="s">
        <v>383</v>
      </c>
      <c r="AV34" s="178" t="s">
        <v>385</v>
      </c>
      <c r="AW34" s="156" t="s">
        <v>386</v>
      </c>
      <c r="AX34" s="179" t="s">
        <v>387</v>
      </c>
      <c r="AY34" s="179" t="s">
        <v>384</v>
      </c>
      <c r="AZ34" s="179" t="s">
        <v>383</v>
      </c>
      <c r="BA34" s="178" t="s">
        <v>385</v>
      </c>
      <c r="BB34" s="156" t="s">
        <v>386</v>
      </c>
      <c r="BC34" s="179" t="s">
        <v>387</v>
      </c>
      <c r="BD34" s="179" t="s">
        <v>384</v>
      </c>
      <c r="BE34" s="179" t="s">
        <v>383</v>
      </c>
      <c r="BF34" s="178" t="s">
        <v>385</v>
      </c>
      <c r="BG34" s="156" t="s">
        <v>386</v>
      </c>
      <c r="BH34" s="179" t="s">
        <v>387</v>
      </c>
      <c r="BI34" s="179" t="s">
        <v>384</v>
      </c>
      <c r="BJ34" s="179" t="s">
        <v>383</v>
      </c>
      <c r="BK34" s="178" t="s">
        <v>385</v>
      </c>
      <c r="BL34" s="156" t="s">
        <v>386</v>
      </c>
      <c r="BM34" s="179" t="s">
        <v>387</v>
      </c>
      <c r="BN34" s="179" t="s">
        <v>384</v>
      </c>
      <c r="BO34" s="179" t="s">
        <v>383</v>
      </c>
      <c r="BS34" s="54"/>
      <c r="BT34" s="54"/>
      <c r="BU34" s="54"/>
      <c r="BV34" s="54"/>
      <c r="BW34" s="1"/>
      <c r="BX34" s="1"/>
      <c r="BY34" s="1"/>
      <c r="BZ34" s="1"/>
      <c r="CA34" s="1"/>
      <c r="CH34" s="53"/>
      <c r="CI34" s="53"/>
      <c r="CJ34" s="53"/>
      <c r="CK34" s="53"/>
      <c r="CL34" s="52"/>
      <c r="CM34" s="54"/>
      <c r="CN34" s="54"/>
      <c r="CO34" s="54"/>
      <c r="CP34" s="54"/>
    </row>
    <row r="35" spans="3:94" ht="15" customHeight="1" x14ac:dyDescent="0.55000000000000004">
      <c r="C35" s="153">
        <f>COUNTA(C16:C31)</f>
        <v>11</v>
      </c>
      <c r="D35" s="162">
        <f>SUM(D16:D31)</f>
        <v>1885</v>
      </c>
      <c r="E35" s="162">
        <f>SUM(E16:E31)</f>
        <v>198</v>
      </c>
      <c r="F35" s="162">
        <f>SUM(F16:F31)</f>
        <v>1186</v>
      </c>
      <c r="G35" s="177">
        <f>AVERAGE(G16:G31)</f>
        <v>0.70000000000000007</v>
      </c>
      <c r="H35" s="153">
        <f>COUNTA(H16:H31)</f>
        <v>12</v>
      </c>
      <c r="I35" s="162">
        <f>SUM(I16:I31)</f>
        <v>2085</v>
      </c>
      <c r="J35" s="162">
        <f>SUM(J16:J31)</f>
        <v>198</v>
      </c>
      <c r="K35" s="162">
        <f>SUM(K16:K31)</f>
        <v>1200</v>
      </c>
      <c r="L35" s="177">
        <f>AVERAGE(L16:L31)</f>
        <v>0.70909090909090911</v>
      </c>
      <c r="M35" s="153">
        <f>COUNTA(M16:M31)</f>
        <v>12</v>
      </c>
      <c r="N35" s="162">
        <f>SUM(N16:N31)</f>
        <v>2085</v>
      </c>
      <c r="O35" s="162">
        <f>SUM(O16:O31)</f>
        <v>198</v>
      </c>
      <c r="P35" s="162">
        <f>SUM(P16:P31)</f>
        <v>1220</v>
      </c>
      <c r="Q35" s="177">
        <f>AVERAGE(Q16:Q31)</f>
        <v>0.65833333333333333</v>
      </c>
      <c r="R35" s="153">
        <f>COUNTA(R16:R31)</f>
        <v>12</v>
      </c>
      <c r="S35" s="162">
        <f>SUM(S16:S31)</f>
        <v>2085</v>
      </c>
      <c r="T35" s="162">
        <f>SUM(T16:T31)</f>
        <v>198</v>
      </c>
      <c r="U35" s="162">
        <f>SUM(U16:U31)</f>
        <v>1255</v>
      </c>
      <c r="V35" s="177">
        <f>AVERAGE(V16:V31)</f>
        <v>0.67499999999999993</v>
      </c>
      <c r="W35" s="153">
        <f>COUNTA(W16:W31)</f>
        <v>15</v>
      </c>
      <c r="X35" s="162">
        <f>SUM(X16:X31)</f>
        <v>2485</v>
      </c>
      <c r="Y35" s="162">
        <f>SUM(Y16:Y31)</f>
        <v>258</v>
      </c>
      <c r="Z35" s="162">
        <f>SUM(Z16:Z31)</f>
        <v>1444</v>
      </c>
      <c r="AA35" s="177">
        <f>AVERAGE(AA16:AA31)</f>
        <v>0.62333333333333341</v>
      </c>
      <c r="AB35" s="153">
        <f>COUNTA(AB16:AB31)</f>
        <v>16</v>
      </c>
      <c r="AC35" s="162">
        <f>SUM(AC16:AC31)</f>
        <v>2615</v>
      </c>
      <c r="AD35" s="162">
        <f>SUM(AD16:AD31)</f>
        <v>258</v>
      </c>
      <c r="AE35" s="162">
        <f>SUM(AE16:AE31)</f>
        <v>1614</v>
      </c>
      <c r="AF35" s="177">
        <f>AVERAGE(AF16:AF31)</f>
        <v>0.66562500000000002</v>
      </c>
      <c r="AG35" s="153">
        <f>COUNTA(AG16:AG31)</f>
        <v>16</v>
      </c>
      <c r="AH35" s="162">
        <f>SUM(AH16:AH31)</f>
        <v>2615</v>
      </c>
      <c r="AI35" s="162">
        <f>SUM(AI16:AI31)</f>
        <v>262</v>
      </c>
      <c r="AJ35" s="162">
        <f>SUM(AJ16:AJ31)</f>
        <v>1662</v>
      </c>
      <c r="AK35" s="177">
        <f>AVERAGE(AK16:AK31)</f>
        <v>0.68437499999999996</v>
      </c>
      <c r="AL35" s="153">
        <f>COUNTA(AL16:AL31)</f>
        <v>16</v>
      </c>
      <c r="AM35" s="162">
        <f>SUM(AM16:AM31)</f>
        <v>2615</v>
      </c>
      <c r="AN35" s="162">
        <f>SUM(AN16:AN31)</f>
        <v>262</v>
      </c>
      <c r="AO35" s="162">
        <f>SUM(AO16:AO31)</f>
        <v>1682</v>
      </c>
      <c r="AP35" s="177">
        <f>AVERAGE(AP16:AP31)</f>
        <v>0.69687499999999991</v>
      </c>
      <c r="AQ35" s="153">
        <f>COUNTA(AQ16:AQ31)</f>
        <v>16</v>
      </c>
      <c r="AR35" s="162">
        <f>SUM(AR16:AR31)</f>
        <v>2615</v>
      </c>
      <c r="AS35" s="162">
        <f>SUM(AS16:AS31)</f>
        <v>282</v>
      </c>
      <c r="AT35" s="162">
        <f>SUM(AT16:AT31)</f>
        <v>1700</v>
      </c>
      <c r="AU35" s="177">
        <f>AVERAGE(AU16:AU31)</f>
        <v>0.71875000000000022</v>
      </c>
      <c r="AV35" s="153">
        <f>COUNTA(AV16:AV31)</f>
        <v>15</v>
      </c>
      <c r="AW35" s="162">
        <f>SUM(AW16:AW31)</f>
        <v>2450</v>
      </c>
      <c r="AX35" s="162">
        <f>SUM(AX16:AX31)</f>
        <v>278</v>
      </c>
      <c r="AY35" s="162">
        <f>SUM(AY16:AY31)</f>
        <v>1510</v>
      </c>
      <c r="AZ35" s="177">
        <f>AVERAGE(AZ16:AZ31)</f>
        <v>0.71333333333333337</v>
      </c>
      <c r="BA35" s="153">
        <f>COUNTA(BA16:BA31)</f>
        <v>15</v>
      </c>
      <c r="BB35" s="162">
        <f>SUM(BB16:BB31)</f>
        <v>2450</v>
      </c>
      <c r="BC35" s="162">
        <f>SUM(BC16:BC31)</f>
        <v>278</v>
      </c>
      <c r="BD35" s="162">
        <f>SUM(BD16:BD31)</f>
        <v>1610</v>
      </c>
      <c r="BE35" s="177">
        <f>AVERAGE(BE16:BE31)</f>
        <v>0.73333333333333328</v>
      </c>
      <c r="BF35" s="153">
        <f>COUNTA(BF16:BF31)</f>
        <v>15</v>
      </c>
      <c r="BG35" s="162">
        <f>SUM(BG16:BG31)</f>
        <v>2450</v>
      </c>
      <c r="BH35" s="162">
        <f>SUM(BH16:BH31)</f>
        <v>278</v>
      </c>
      <c r="BI35" s="162">
        <f>SUM(BI16:BI31)</f>
        <v>1635</v>
      </c>
      <c r="BJ35" s="177">
        <f>AVERAGE(BJ16:BJ31)</f>
        <v>0.75</v>
      </c>
      <c r="BK35" s="153">
        <f>COUNTA(BK16:BK31)</f>
        <v>15</v>
      </c>
      <c r="BL35" s="162">
        <f>SUM(BL16:BL31)</f>
        <v>2450</v>
      </c>
      <c r="BM35" s="162">
        <f>SUM(BM16:BM31)</f>
        <v>278</v>
      </c>
      <c r="BN35" s="162">
        <f>SUM(BN16:BN31)</f>
        <v>1651</v>
      </c>
      <c r="BO35" s="177">
        <f>AVERAGE(BO16:BO31)</f>
        <v>0.75666666666666649</v>
      </c>
    </row>
  </sheetData>
  <mergeCells count="114">
    <mergeCell ref="BF10:BJ10"/>
    <mergeCell ref="BK10:BO10"/>
    <mergeCell ref="W11:AA11"/>
    <mergeCell ref="AQ10:AU10"/>
    <mergeCell ref="AV10:AZ10"/>
    <mergeCell ref="BA10:BE10"/>
    <mergeCell ref="BF12:BJ12"/>
    <mergeCell ref="BK12:BO12"/>
    <mergeCell ref="A8:B8"/>
    <mergeCell ref="C8:G8"/>
    <mergeCell ref="H8:L8"/>
    <mergeCell ref="M8:Q8"/>
    <mergeCell ref="R8:V8"/>
    <mergeCell ref="W8:AA8"/>
    <mergeCell ref="AB8:AF8"/>
    <mergeCell ref="AG8:AK8"/>
    <mergeCell ref="AL8:AP8"/>
    <mergeCell ref="AQ8:AU8"/>
    <mergeCell ref="AV8:AZ8"/>
    <mergeCell ref="BA8:BE8"/>
    <mergeCell ref="BF8:BJ8"/>
    <mergeCell ref="BK8:BO8"/>
    <mergeCell ref="AG12:AK12"/>
    <mergeCell ref="AL12:AP12"/>
    <mergeCell ref="AQ12:AU12"/>
    <mergeCell ref="AV12:AZ12"/>
    <mergeCell ref="BA12:BE12"/>
    <mergeCell ref="A10:B10"/>
    <mergeCell ref="A11:B11"/>
    <mergeCell ref="A12:B12"/>
    <mergeCell ref="W10:AA10"/>
    <mergeCell ref="AB10:AF10"/>
    <mergeCell ref="W12:AA12"/>
    <mergeCell ref="AB12:AF12"/>
    <mergeCell ref="BK7:BO7"/>
    <mergeCell ref="AG7:AK7"/>
    <mergeCell ref="AL7:AP7"/>
    <mergeCell ref="AQ7:AU7"/>
    <mergeCell ref="AV7:AZ7"/>
    <mergeCell ref="BA7:BE7"/>
    <mergeCell ref="BF7:BJ7"/>
    <mergeCell ref="AB11:AF11"/>
    <mergeCell ref="AG11:AK11"/>
    <mergeCell ref="AL11:AP11"/>
    <mergeCell ref="AQ11:AU11"/>
    <mergeCell ref="AV11:AZ11"/>
    <mergeCell ref="BA11:BE11"/>
    <mergeCell ref="BF11:BJ11"/>
    <mergeCell ref="BK11:BO11"/>
    <mergeCell ref="AG10:AK10"/>
    <mergeCell ref="AL10:AP10"/>
    <mergeCell ref="A5:B5"/>
    <mergeCell ref="C5:G5"/>
    <mergeCell ref="H5:L5"/>
    <mergeCell ref="M5:Q5"/>
    <mergeCell ref="R5:V5"/>
    <mergeCell ref="BA5:BE5"/>
    <mergeCell ref="BF5:BJ5"/>
    <mergeCell ref="BK5:BO5"/>
    <mergeCell ref="A7:B7"/>
    <mergeCell ref="C7:G7"/>
    <mergeCell ref="H7:L7"/>
    <mergeCell ref="M7:Q7"/>
    <mergeCell ref="R7:V7"/>
    <mergeCell ref="W7:AA7"/>
    <mergeCell ref="AB7:AF7"/>
    <mergeCell ref="W5:AA5"/>
    <mergeCell ref="AB5:AF5"/>
    <mergeCell ref="AG5:AK5"/>
    <mergeCell ref="AL5:AP5"/>
    <mergeCell ref="AQ5:AU5"/>
    <mergeCell ref="AV5:AZ5"/>
    <mergeCell ref="AQ3:AU3"/>
    <mergeCell ref="AV3:AZ3"/>
    <mergeCell ref="BA3:BE3"/>
    <mergeCell ref="BF3:BJ3"/>
    <mergeCell ref="AQ4:AU4"/>
    <mergeCell ref="AV4:AZ4"/>
    <mergeCell ref="BA4:BE4"/>
    <mergeCell ref="BF4:BJ4"/>
    <mergeCell ref="BK4:BO4"/>
    <mergeCell ref="A4:B4"/>
    <mergeCell ref="C4:G4"/>
    <mergeCell ref="H4:L4"/>
    <mergeCell ref="M4:Q4"/>
    <mergeCell ref="R4:V4"/>
    <mergeCell ref="W4:AA4"/>
    <mergeCell ref="AB4:AF4"/>
    <mergeCell ref="AG4:AK4"/>
    <mergeCell ref="AL4:AP4"/>
    <mergeCell ref="BA2:BE2"/>
    <mergeCell ref="BF2:BJ2"/>
    <mergeCell ref="BK2:BO2"/>
    <mergeCell ref="A3:B3"/>
    <mergeCell ref="C3:G3"/>
    <mergeCell ref="H3:L3"/>
    <mergeCell ref="M3:Q3"/>
    <mergeCell ref="R3:V3"/>
    <mergeCell ref="W3:AA3"/>
    <mergeCell ref="AB3:AF3"/>
    <mergeCell ref="W2:AA2"/>
    <mergeCell ref="AB2:AF2"/>
    <mergeCell ref="AG2:AK2"/>
    <mergeCell ref="AL2:AP2"/>
    <mergeCell ref="AQ2:AU2"/>
    <mergeCell ref="AV2:AZ2"/>
    <mergeCell ref="A2:B2"/>
    <mergeCell ref="C2:G2"/>
    <mergeCell ref="H2:L2"/>
    <mergeCell ref="M2:Q2"/>
    <mergeCell ref="R2:V2"/>
    <mergeCell ref="BK3:BO3"/>
    <mergeCell ref="AG3:AK3"/>
    <mergeCell ref="AL3:AP3"/>
  </mergeCells>
  <phoneticPr fontId="2"/>
  <pageMargins left="0.25" right="0.25" top="0.75" bottom="0.75" header="0.3" footer="0.3"/>
  <pageSetup paperSize="8" scale="8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367-410A-453E-9908-E12BCBE105C2}">
  <dimension ref="A1:AC128"/>
  <sheetViews>
    <sheetView tabSelected="1" zoomScale="110" zoomScaleNormal="110" workbookViewId="0">
      <selection activeCell="AB39" sqref="AB39"/>
    </sheetView>
  </sheetViews>
  <sheetFormatPr defaultRowHeight="18" x14ac:dyDescent="0.55000000000000004"/>
  <cols>
    <col min="1" max="1" width="5.9140625" customWidth="1"/>
    <col min="2" max="2" width="7.1640625" customWidth="1"/>
    <col min="3" max="3" width="5.9140625" hidden="1" customWidth="1"/>
    <col min="4" max="5" width="5.9140625" style="1" hidden="1" customWidth="1"/>
    <col min="6" max="10" width="5.9140625" hidden="1" customWidth="1"/>
    <col min="11" max="28" width="5.9140625" customWidth="1"/>
    <col min="29" max="29" width="35.4140625" customWidth="1"/>
  </cols>
  <sheetData>
    <row r="1" spans="1:29" ht="13.5" customHeight="1" x14ac:dyDescent="0.55000000000000004">
      <c r="A1" s="74" t="s">
        <v>173</v>
      </c>
      <c r="B1" s="75"/>
      <c r="C1" s="75"/>
      <c r="D1" s="76"/>
      <c r="E1" s="76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9" ht="13.5" customHeight="1" x14ac:dyDescent="0.55000000000000004">
      <c r="A2" s="342"/>
      <c r="B2" s="342"/>
      <c r="C2" s="262" t="s">
        <v>4</v>
      </c>
      <c r="D2" s="263"/>
      <c r="E2" s="312" t="s">
        <v>5</v>
      </c>
      <c r="F2" s="313"/>
      <c r="G2" s="312" t="s">
        <v>6</v>
      </c>
      <c r="H2" s="313"/>
      <c r="I2" s="312" t="s">
        <v>7</v>
      </c>
      <c r="J2" s="313"/>
      <c r="K2" s="312" t="s">
        <v>8</v>
      </c>
      <c r="L2" s="313"/>
      <c r="M2" s="312" t="s">
        <v>10</v>
      </c>
      <c r="N2" s="313"/>
      <c r="O2" s="312" t="s">
        <v>11</v>
      </c>
      <c r="P2" s="313"/>
      <c r="Q2" s="312" t="s">
        <v>12</v>
      </c>
      <c r="R2" s="313"/>
      <c r="S2" s="312" t="s">
        <v>13</v>
      </c>
      <c r="T2" s="313"/>
      <c r="U2" s="312" t="s">
        <v>14</v>
      </c>
      <c r="V2" s="313"/>
      <c r="W2" s="312" t="s">
        <v>15</v>
      </c>
      <c r="X2" s="313"/>
      <c r="Y2" s="312" t="s">
        <v>16</v>
      </c>
      <c r="Z2" s="313"/>
      <c r="AA2" s="312" t="s">
        <v>4</v>
      </c>
      <c r="AB2" s="313"/>
    </row>
    <row r="3" spans="1:29" ht="13.5" customHeight="1" thickBot="1" x14ac:dyDescent="0.6">
      <c r="A3" s="255" t="s">
        <v>153</v>
      </c>
      <c r="B3" s="255"/>
      <c r="C3" s="338">
        <v>16</v>
      </c>
      <c r="D3" s="339"/>
      <c r="E3" s="340">
        <v>16</v>
      </c>
      <c r="F3" s="341"/>
      <c r="G3" s="340">
        <v>16</v>
      </c>
      <c r="H3" s="341"/>
      <c r="I3" s="340">
        <v>16</v>
      </c>
      <c r="J3" s="341"/>
      <c r="K3" s="340">
        <v>18</v>
      </c>
      <c r="L3" s="341"/>
      <c r="M3" s="340">
        <v>18</v>
      </c>
      <c r="N3" s="341"/>
      <c r="O3" s="340">
        <v>18</v>
      </c>
      <c r="P3" s="341"/>
      <c r="Q3" s="340">
        <v>20</v>
      </c>
      <c r="R3" s="341"/>
      <c r="S3" s="340">
        <v>20</v>
      </c>
      <c r="T3" s="341"/>
      <c r="U3" s="340">
        <v>20</v>
      </c>
      <c r="V3" s="341"/>
      <c r="W3" s="340">
        <v>20</v>
      </c>
      <c r="X3" s="341"/>
      <c r="Y3" s="340">
        <v>20</v>
      </c>
      <c r="Z3" s="341"/>
      <c r="AA3" s="340">
        <v>20</v>
      </c>
      <c r="AB3" s="341"/>
    </row>
    <row r="4" spans="1:29" ht="13.5" customHeight="1" thickBot="1" x14ac:dyDescent="0.6">
      <c r="A4" s="256" t="s">
        <v>160</v>
      </c>
      <c r="B4" s="257"/>
      <c r="C4" s="334">
        <f>C38</f>
        <v>14</v>
      </c>
      <c r="D4" s="335"/>
      <c r="E4" s="329">
        <f>E38</f>
        <v>14</v>
      </c>
      <c r="F4" s="333"/>
      <c r="G4" s="329">
        <f>G38</f>
        <v>15</v>
      </c>
      <c r="H4" s="333"/>
      <c r="I4" s="329">
        <f>I38</f>
        <v>15</v>
      </c>
      <c r="J4" s="333"/>
      <c r="K4" s="329">
        <f>K38</f>
        <v>14</v>
      </c>
      <c r="L4" s="333"/>
      <c r="M4" s="329">
        <f>M38</f>
        <v>15</v>
      </c>
      <c r="N4" s="333"/>
      <c r="O4" s="329">
        <f>O38</f>
        <v>15</v>
      </c>
      <c r="P4" s="333"/>
      <c r="Q4" s="329">
        <f>Q38</f>
        <v>17</v>
      </c>
      <c r="R4" s="333"/>
      <c r="S4" s="329">
        <f>S38</f>
        <v>18</v>
      </c>
      <c r="T4" s="333"/>
      <c r="U4" s="329">
        <f>U38</f>
        <v>18</v>
      </c>
      <c r="V4" s="333"/>
      <c r="W4" s="329">
        <f>W38</f>
        <v>18</v>
      </c>
      <c r="X4" s="333"/>
      <c r="Y4" s="329">
        <f>Y38</f>
        <v>20</v>
      </c>
      <c r="Z4" s="330"/>
      <c r="AA4" s="331">
        <f>AA38</f>
        <v>20</v>
      </c>
      <c r="AB4" s="332"/>
    </row>
    <row r="5" spans="1:29" ht="13.5" customHeight="1" x14ac:dyDescent="0.55000000000000004">
      <c r="A5" s="258" t="s">
        <v>169</v>
      </c>
      <c r="B5" s="258"/>
      <c r="C5" s="336">
        <f>C3-C4</f>
        <v>2</v>
      </c>
      <c r="D5" s="337"/>
      <c r="E5" s="327">
        <f>E4-E3</f>
        <v>-2</v>
      </c>
      <c r="F5" s="328"/>
      <c r="G5" s="327">
        <f>G4-G3</f>
        <v>-1</v>
      </c>
      <c r="H5" s="328"/>
      <c r="I5" s="327">
        <f>I4-I3</f>
        <v>-1</v>
      </c>
      <c r="J5" s="328"/>
      <c r="K5" s="327">
        <f>K4-K3</f>
        <v>-4</v>
      </c>
      <c r="L5" s="328"/>
      <c r="M5" s="327">
        <f>M4-M3</f>
        <v>-3</v>
      </c>
      <c r="N5" s="328"/>
      <c r="O5" s="327">
        <f>O4-O3</f>
        <v>-3</v>
      </c>
      <c r="P5" s="328"/>
      <c r="Q5" s="327">
        <f>Q4-Q3</f>
        <v>-3</v>
      </c>
      <c r="R5" s="328"/>
      <c r="S5" s="327">
        <f>S4-S3</f>
        <v>-2</v>
      </c>
      <c r="T5" s="328"/>
      <c r="U5" s="327">
        <f>U4-U3</f>
        <v>-2</v>
      </c>
      <c r="V5" s="328"/>
      <c r="W5" s="327">
        <f>W4-W3</f>
        <v>-2</v>
      </c>
      <c r="X5" s="328"/>
      <c r="Y5" s="327">
        <f>Y4-Y3</f>
        <v>0</v>
      </c>
      <c r="Z5" s="328"/>
      <c r="AA5" s="327">
        <f>AA4-AA3</f>
        <v>0</v>
      </c>
      <c r="AB5" s="328"/>
    </row>
    <row r="6" spans="1:29" s="44" customFormat="1" ht="18.5" customHeight="1" x14ac:dyDescent="0.55000000000000004">
      <c r="A6" s="55"/>
      <c r="B6" s="55"/>
      <c r="C6" s="152"/>
      <c r="D6" s="152"/>
      <c r="E6" s="155"/>
      <c r="F6" s="155"/>
      <c r="G6" s="155"/>
      <c r="H6" s="155"/>
      <c r="I6" s="155"/>
      <c r="J6" s="214" t="s">
        <v>206</v>
      </c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</row>
    <row r="7" spans="1:29" s="44" customFormat="1" ht="13.5" customHeight="1" x14ac:dyDescent="0.55000000000000004">
      <c r="A7" s="259" t="s">
        <v>382</v>
      </c>
      <c r="B7" s="259"/>
      <c r="C7" s="343"/>
      <c r="D7" s="344"/>
      <c r="E7" s="325">
        <v>65014400</v>
      </c>
      <c r="F7" s="326"/>
      <c r="G7" s="325">
        <v>62865000</v>
      </c>
      <c r="H7" s="326"/>
      <c r="I7" s="325">
        <v>63864900</v>
      </c>
      <c r="J7" s="326"/>
      <c r="K7" s="325">
        <v>62180800</v>
      </c>
      <c r="L7" s="326"/>
      <c r="M7" s="325">
        <v>64158600</v>
      </c>
      <c r="N7" s="326"/>
      <c r="O7" s="325">
        <v>63621800</v>
      </c>
      <c r="P7" s="326"/>
      <c r="Q7" s="325">
        <v>64871400</v>
      </c>
      <c r="R7" s="326"/>
      <c r="S7" s="325">
        <v>60713000</v>
      </c>
      <c r="T7" s="326"/>
      <c r="U7" s="325">
        <v>61365000</v>
      </c>
      <c r="V7" s="326"/>
      <c r="W7" s="325">
        <v>61691000</v>
      </c>
      <c r="X7" s="326"/>
      <c r="Y7" s="325">
        <v>63647000</v>
      </c>
      <c r="Z7" s="326"/>
      <c r="AA7" s="325">
        <v>61677000</v>
      </c>
      <c r="AB7" s="326"/>
    </row>
    <row r="8" spans="1:29" s="44" customFormat="1" ht="13.5" customHeight="1" x14ac:dyDescent="0.55000000000000004">
      <c r="A8" s="259" t="s">
        <v>381</v>
      </c>
      <c r="B8" s="259"/>
      <c r="C8" s="325"/>
      <c r="D8" s="326"/>
      <c r="E8" s="325">
        <v>59104000</v>
      </c>
      <c r="F8" s="326"/>
      <c r="G8" s="325">
        <v>57150000</v>
      </c>
      <c r="H8" s="326"/>
      <c r="I8" s="325">
        <v>58059000</v>
      </c>
      <c r="J8" s="326"/>
      <c r="K8" s="325">
        <v>56528000</v>
      </c>
      <c r="L8" s="326"/>
      <c r="M8" s="325">
        <v>58326000</v>
      </c>
      <c r="N8" s="326"/>
      <c r="O8" s="325">
        <v>57838000</v>
      </c>
      <c r="P8" s="326"/>
      <c r="Q8" s="325">
        <v>58974000</v>
      </c>
      <c r="R8" s="326"/>
      <c r="S8" s="325">
        <v>55193636</v>
      </c>
      <c r="T8" s="326"/>
      <c r="U8" s="325">
        <v>55786364</v>
      </c>
      <c r="V8" s="326"/>
      <c r="W8" s="325">
        <v>56082727</v>
      </c>
      <c r="X8" s="326"/>
      <c r="Y8" s="325">
        <v>57860909</v>
      </c>
      <c r="Z8" s="326"/>
      <c r="AA8" s="325">
        <v>56070000</v>
      </c>
      <c r="AB8" s="326"/>
    </row>
    <row r="9" spans="1:29" ht="13.5" customHeight="1" x14ac:dyDescent="0.55000000000000004">
      <c r="A9" s="259" t="s">
        <v>335</v>
      </c>
      <c r="B9" s="259"/>
      <c r="C9" s="323"/>
      <c r="D9" s="324"/>
      <c r="E9" s="321">
        <f>F38</f>
        <v>221</v>
      </c>
      <c r="F9" s="322"/>
      <c r="G9" s="321">
        <f>H38</f>
        <v>235</v>
      </c>
      <c r="H9" s="322"/>
      <c r="I9" s="321">
        <f>J38</f>
        <v>233</v>
      </c>
      <c r="J9" s="322"/>
      <c r="K9" s="321">
        <f>L38</f>
        <v>233</v>
      </c>
      <c r="L9" s="322"/>
      <c r="M9" s="321">
        <f>N38</f>
        <v>245</v>
      </c>
      <c r="N9" s="322"/>
      <c r="O9" s="321">
        <f>P38</f>
        <v>257</v>
      </c>
      <c r="P9" s="322"/>
      <c r="Q9" s="321">
        <f>R38</f>
        <v>271</v>
      </c>
      <c r="R9" s="322"/>
      <c r="S9" s="321">
        <f>T38</f>
        <v>269</v>
      </c>
      <c r="T9" s="322"/>
      <c r="U9" s="321">
        <f>V38</f>
        <v>281</v>
      </c>
      <c r="V9" s="322"/>
      <c r="W9" s="321">
        <f>X38</f>
        <v>282</v>
      </c>
      <c r="X9" s="322"/>
      <c r="Y9" s="321">
        <f>Z38</f>
        <v>295</v>
      </c>
      <c r="Z9" s="322"/>
      <c r="AA9" s="321">
        <f>AB38</f>
        <v>280</v>
      </c>
      <c r="AB9" s="322"/>
      <c r="AC9" s="1"/>
    </row>
    <row r="10" spans="1:29" ht="13.5" customHeight="1" x14ac:dyDescent="0.55000000000000004">
      <c r="A10" s="259" t="s">
        <v>410</v>
      </c>
      <c r="B10" s="259"/>
      <c r="C10" s="219"/>
      <c r="D10" s="220"/>
      <c r="E10" s="217"/>
      <c r="F10" s="218"/>
      <c r="G10" s="217"/>
      <c r="H10" s="218"/>
      <c r="I10" s="217"/>
      <c r="J10" s="218"/>
      <c r="K10" s="224">
        <f>ROUND(AVERAGE(L16:L29),0)</f>
        <v>16</v>
      </c>
      <c r="L10" s="225"/>
      <c r="M10" s="224">
        <f>ROUND(AVERAGE(N16:N30),0)</f>
        <v>16</v>
      </c>
      <c r="N10" s="225"/>
      <c r="O10" s="224">
        <f>ROUND(AVERAGE(P16:P31),0)</f>
        <v>15</v>
      </c>
      <c r="P10" s="225"/>
      <c r="Q10" s="224">
        <f>ROUND(AVERAGE(R16:R33),0)</f>
        <v>15</v>
      </c>
      <c r="R10" s="225"/>
      <c r="S10" s="224">
        <f>ROUND(AVERAGE(T16:T33),0)</f>
        <v>14</v>
      </c>
      <c r="T10" s="225"/>
      <c r="U10" s="224">
        <f>ROUND(AVERAGE(V16:V34),0)</f>
        <v>15</v>
      </c>
      <c r="V10" s="225"/>
      <c r="W10" s="224">
        <f>ROUND(AVERAGE(X16:X34),0)</f>
        <v>15</v>
      </c>
      <c r="X10" s="225"/>
      <c r="Y10" s="224">
        <f>ROUND(AVERAGE(Z16:Z34),0)</f>
        <v>15</v>
      </c>
      <c r="Z10" s="225"/>
      <c r="AA10" s="224">
        <f>ROUND(AVERAGE(AB22:AB36),0)</f>
        <v>12</v>
      </c>
      <c r="AB10" s="225"/>
      <c r="AC10" s="1"/>
    </row>
    <row r="11" spans="1:29" ht="13.5" customHeight="1" x14ac:dyDescent="0.55000000000000004">
      <c r="A11" s="259" t="s">
        <v>338</v>
      </c>
      <c r="B11" s="259"/>
      <c r="C11" s="323"/>
      <c r="D11" s="324"/>
      <c r="E11" s="321">
        <f>MAX(F16:F37)</f>
        <v>22</v>
      </c>
      <c r="F11" s="322"/>
      <c r="G11" s="321">
        <f>MAX(H16:H37)</f>
        <v>23</v>
      </c>
      <c r="H11" s="322"/>
      <c r="I11" s="321">
        <f>MAX(J16:J37)</f>
        <v>23</v>
      </c>
      <c r="J11" s="322"/>
      <c r="K11" s="321">
        <f>MAX(L16:L37)</f>
        <v>21</v>
      </c>
      <c r="L11" s="322"/>
      <c r="M11" s="321">
        <f>MAX(N16:N37)</f>
        <v>21</v>
      </c>
      <c r="N11" s="322"/>
      <c r="O11" s="321">
        <f>MAX(P16:P37)</f>
        <v>20</v>
      </c>
      <c r="P11" s="322"/>
      <c r="Q11" s="321">
        <f>MAX(R16:R37)</f>
        <v>22</v>
      </c>
      <c r="R11" s="322"/>
      <c r="S11" s="321">
        <f>MAX(T16:T37)</f>
        <v>20</v>
      </c>
      <c r="T11" s="322"/>
      <c r="U11" s="321">
        <f>MAX(V16:V37)</f>
        <v>20</v>
      </c>
      <c r="V11" s="322"/>
      <c r="W11" s="321">
        <f>MAX(X16:X37)</f>
        <v>20</v>
      </c>
      <c r="X11" s="322"/>
      <c r="Y11" s="321">
        <f>MAX(Z16:Z37)</f>
        <v>20</v>
      </c>
      <c r="Z11" s="322"/>
      <c r="AA11" s="321">
        <f>MAX(AB16:AB37)</f>
        <v>20</v>
      </c>
      <c r="AB11" s="322"/>
      <c r="AC11" s="1"/>
    </row>
    <row r="12" spans="1:29" s="44" customFormat="1" ht="13.5" customHeight="1" x14ac:dyDescent="0.55000000000000004">
      <c r="A12" s="55"/>
      <c r="B12" s="55"/>
      <c r="C12" s="152"/>
      <c r="D12" s="152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</row>
    <row r="13" spans="1:29" ht="13.5" customHeight="1" x14ac:dyDescent="0.55000000000000004">
      <c r="A13" s="259" t="s">
        <v>170</v>
      </c>
      <c r="B13" s="259"/>
      <c r="C13" s="319">
        <f>C49</f>
        <v>0</v>
      </c>
      <c r="D13" s="320"/>
      <c r="E13" s="317">
        <f>E49</f>
        <v>5</v>
      </c>
      <c r="F13" s="318"/>
      <c r="G13" s="317">
        <f>G49</f>
        <v>4</v>
      </c>
      <c r="H13" s="318"/>
      <c r="I13" s="317">
        <f>I49</f>
        <v>4</v>
      </c>
      <c r="J13" s="318"/>
      <c r="K13" s="317">
        <f>K49</f>
        <v>6</v>
      </c>
      <c r="L13" s="318"/>
      <c r="M13" s="317">
        <f>M49</f>
        <v>5</v>
      </c>
      <c r="N13" s="318"/>
      <c r="O13" s="317">
        <f>O49</f>
        <v>4</v>
      </c>
      <c r="P13" s="318"/>
      <c r="Q13" s="317">
        <f>Q49</f>
        <v>4</v>
      </c>
      <c r="R13" s="318"/>
      <c r="S13" s="317">
        <f>S49</f>
        <v>3</v>
      </c>
      <c r="T13" s="318"/>
      <c r="U13" s="317">
        <f>U49</f>
        <v>4</v>
      </c>
      <c r="V13" s="318"/>
      <c r="W13" s="317">
        <f>W49</f>
        <v>4</v>
      </c>
      <c r="X13" s="318"/>
      <c r="Y13" s="317">
        <f>Y49</f>
        <v>2</v>
      </c>
      <c r="Z13" s="318"/>
      <c r="AA13" s="317">
        <f>AA49</f>
        <v>2</v>
      </c>
      <c r="AB13" s="318"/>
      <c r="AC13" s="44"/>
    </row>
    <row r="14" spans="1:29" ht="19.5" customHeight="1" x14ac:dyDescent="0.55000000000000004">
      <c r="A14" s="27"/>
      <c r="B14" s="27"/>
      <c r="G14" s="214"/>
      <c r="I14" s="58"/>
      <c r="J14" s="214"/>
      <c r="AC14" s="44"/>
    </row>
    <row r="15" spans="1:29" ht="10" customHeight="1" x14ac:dyDescent="0.55000000000000004">
      <c r="A15" s="215" t="s">
        <v>341</v>
      </c>
      <c r="B15" s="216"/>
      <c r="C15" s="253" t="s">
        <v>4</v>
      </c>
      <c r="D15" s="260"/>
      <c r="E15" s="312" t="s">
        <v>5</v>
      </c>
      <c r="F15" s="313"/>
      <c r="G15" s="312" t="s">
        <v>6</v>
      </c>
      <c r="H15" s="313"/>
      <c r="I15" s="312" t="s">
        <v>7</v>
      </c>
      <c r="J15" s="313"/>
      <c r="K15" s="312" t="s">
        <v>8</v>
      </c>
      <c r="L15" s="313"/>
      <c r="M15" s="312" t="s">
        <v>10</v>
      </c>
      <c r="N15" s="313"/>
      <c r="O15" s="312" t="s">
        <v>11</v>
      </c>
      <c r="P15" s="313"/>
      <c r="Q15" s="312" t="s">
        <v>12</v>
      </c>
      <c r="R15" s="313"/>
      <c r="S15" s="312" t="s">
        <v>13</v>
      </c>
      <c r="T15" s="313"/>
      <c r="U15" s="312" t="s">
        <v>14</v>
      </c>
      <c r="V15" s="313"/>
      <c r="W15" s="312" t="s">
        <v>15</v>
      </c>
      <c r="X15" s="313"/>
      <c r="Y15" s="312" t="s">
        <v>16</v>
      </c>
      <c r="Z15" s="313"/>
      <c r="AA15" s="312" t="s">
        <v>4</v>
      </c>
      <c r="AB15" s="313"/>
    </row>
    <row r="16" spans="1:29" ht="10" customHeight="1" x14ac:dyDescent="0.55000000000000004">
      <c r="A16" s="27"/>
      <c r="B16" s="27"/>
      <c r="C16" s="45" t="s">
        <v>168</v>
      </c>
      <c r="D16" s="45">
        <v>200</v>
      </c>
      <c r="E16" s="153" t="s">
        <v>168</v>
      </c>
      <c r="F16" s="118">
        <v>22</v>
      </c>
      <c r="G16" s="45" t="s">
        <v>168</v>
      </c>
      <c r="H16" s="118">
        <v>22</v>
      </c>
      <c r="I16" s="45" t="s">
        <v>168</v>
      </c>
      <c r="J16" s="118">
        <v>17</v>
      </c>
      <c r="K16" s="45" t="s">
        <v>168</v>
      </c>
      <c r="L16" s="118">
        <v>20</v>
      </c>
      <c r="M16" s="45" t="s">
        <v>168</v>
      </c>
      <c r="N16" s="118">
        <v>21</v>
      </c>
      <c r="O16" s="45" t="s">
        <v>168</v>
      </c>
      <c r="P16" s="118">
        <v>20</v>
      </c>
      <c r="Q16" s="45" t="s">
        <v>168</v>
      </c>
      <c r="R16" s="118">
        <v>19</v>
      </c>
      <c r="S16" s="45" t="s">
        <v>168</v>
      </c>
      <c r="T16" s="118">
        <v>18</v>
      </c>
      <c r="U16" s="45" t="s">
        <v>168</v>
      </c>
      <c r="V16" s="118">
        <v>19</v>
      </c>
      <c r="W16" s="45" t="s">
        <v>168</v>
      </c>
      <c r="X16" s="118">
        <v>19</v>
      </c>
      <c r="Y16" s="45" t="s">
        <v>168</v>
      </c>
      <c r="Z16" s="118">
        <v>19</v>
      </c>
      <c r="AA16" s="45" t="s">
        <v>168</v>
      </c>
      <c r="AB16" s="118">
        <v>17</v>
      </c>
    </row>
    <row r="17" spans="1:28" ht="10" customHeight="1" x14ac:dyDescent="0.55000000000000004">
      <c r="A17" s="27"/>
      <c r="B17" s="27"/>
      <c r="C17" s="45" t="s">
        <v>61</v>
      </c>
      <c r="D17" s="45">
        <v>200</v>
      </c>
      <c r="E17" s="153" t="s">
        <v>61</v>
      </c>
      <c r="F17" s="118">
        <v>17</v>
      </c>
      <c r="G17" s="45" t="s">
        <v>61</v>
      </c>
      <c r="H17" s="118">
        <v>19</v>
      </c>
      <c r="I17" s="45" t="s">
        <v>61</v>
      </c>
      <c r="J17" s="118">
        <v>17</v>
      </c>
      <c r="K17" s="45" t="s">
        <v>61</v>
      </c>
      <c r="L17" s="118">
        <v>15</v>
      </c>
      <c r="M17" s="45" t="s">
        <v>61</v>
      </c>
      <c r="N17" s="118">
        <v>15</v>
      </c>
      <c r="O17" s="45" t="s">
        <v>61</v>
      </c>
      <c r="P17" s="118">
        <v>15</v>
      </c>
      <c r="Q17" s="45" t="s">
        <v>61</v>
      </c>
      <c r="R17" s="118">
        <v>15</v>
      </c>
      <c r="S17" s="45" t="s">
        <v>61</v>
      </c>
      <c r="T17" s="118">
        <v>14</v>
      </c>
      <c r="U17" s="45" t="s">
        <v>61</v>
      </c>
      <c r="V17" s="118">
        <v>15</v>
      </c>
      <c r="W17" s="45" t="s">
        <v>61</v>
      </c>
      <c r="X17" s="118">
        <v>15</v>
      </c>
      <c r="Y17" s="45" t="s">
        <v>61</v>
      </c>
      <c r="Z17" s="118">
        <v>15</v>
      </c>
      <c r="AA17" s="45" t="s">
        <v>61</v>
      </c>
      <c r="AB17" s="118">
        <v>13</v>
      </c>
    </row>
    <row r="18" spans="1:28" ht="10" customHeight="1" x14ac:dyDescent="0.55000000000000004">
      <c r="A18" s="27"/>
      <c r="B18" s="27"/>
      <c r="C18" s="45" t="s">
        <v>62</v>
      </c>
      <c r="D18" s="45">
        <v>200</v>
      </c>
      <c r="E18" s="153" t="s">
        <v>62</v>
      </c>
      <c r="F18" s="118">
        <v>5</v>
      </c>
      <c r="G18" s="45" t="s">
        <v>62</v>
      </c>
      <c r="H18" s="118">
        <v>8</v>
      </c>
      <c r="I18" s="45" t="s">
        <v>62</v>
      </c>
      <c r="J18" s="118">
        <v>7</v>
      </c>
      <c r="K18" s="45" t="s">
        <v>62</v>
      </c>
      <c r="L18" s="118">
        <v>12</v>
      </c>
      <c r="M18" s="45" t="s">
        <v>62</v>
      </c>
      <c r="N18" s="118">
        <v>12</v>
      </c>
      <c r="O18" s="45" t="s">
        <v>62</v>
      </c>
      <c r="P18" s="118">
        <v>12</v>
      </c>
      <c r="Q18" s="45" t="s">
        <v>62</v>
      </c>
      <c r="R18" s="118">
        <v>10</v>
      </c>
      <c r="S18" s="45" t="s">
        <v>62</v>
      </c>
      <c r="T18" s="118">
        <v>10</v>
      </c>
      <c r="U18" s="45" t="s">
        <v>62</v>
      </c>
      <c r="V18" s="118">
        <v>10</v>
      </c>
      <c r="W18" s="45" t="s">
        <v>62</v>
      </c>
      <c r="X18" s="118">
        <v>10</v>
      </c>
      <c r="Y18" s="45" t="s">
        <v>62</v>
      </c>
      <c r="Z18" s="118">
        <v>10</v>
      </c>
      <c r="AA18" s="45" t="s">
        <v>62</v>
      </c>
      <c r="AB18" s="118">
        <v>10</v>
      </c>
    </row>
    <row r="19" spans="1:28" ht="10" customHeight="1" x14ac:dyDescent="0.55000000000000004">
      <c r="A19" s="27"/>
      <c r="B19" s="27"/>
      <c r="C19" s="45" t="s">
        <v>64</v>
      </c>
      <c r="D19" s="45">
        <v>200</v>
      </c>
      <c r="E19" s="153" t="s">
        <v>64</v>
      </c>
      <c r="F19" s="118">
        <v>22</v>
      </c>
      <c r="G19" s="45" t="s">
        <v>64</v>
      </c>
      <c r="H19" s="118">
        <v>22</v>
      </c>
      <c r="I19" s="45" t="s">
        <v>64</v>
      </c>
      <c r="J19" s="118">
        <v>23</v>
      </c>
      <c r="K19" s="45" t="s">
        <v>64</v>
      </c>
      <c r="L19" s="118">
        <v>21</v>
      </c>
      <c r="M19" s="45" t="s">
        <v>64</v>
      </c>
      <c r="N19" s="118">
        <v>21</v>
      </c>
      <c r="O19" s="45" t="s">
        <v>64</v>
      </c>
      <c r="P19" s="118">
        <v>20</v>
      </c>
      <c r="Q19" s="45" t="s">
        <v>64</v>
      </c>
      <c r="R19" s="118">
        <v>19</v>
      </c>
      <c r="S19" s="45" t="s">
        <v>64</v>
      </c>
      <c r="T19" s="118">
        <v>18</v>
      </c>
      <c r="U19" s="45" t="s">
        <v>64</v>
      </c>
      <c r="V19" s="118">
        <v>19</v>
      </c>
      <c r="W19" s="45" t="s">
        <v>64</v>
      </c>
      <c r="X19" s="118">
        <v>19</v>
      </c>
      <c r="Y19" s="45" t="s">
        <v>64</v>
      </c>
      <c r="Z19" s="118">
        <v>19</v>
      </c>
      <c r="AA19" s="45" t="s">
        <v>64</v>
      </c>
      <c r="AB19" s="118">
        <v>17</v>
      </c>
    </row>
    <row r="20" spans="1:28" ht="10" customHeight="1" x14ac:dyDescent="0.55000000000000004">
      <c r="A20" s="27"/>
      <c r="B20" s="27"/>
      <c r="C20" s="45" t="s">
        <v>65</v>
      </c>
      <c r="D20" s="45">
        <v>200</v>
      </c>
      <c r="E20" s="153" t="s">
        <v>65</v>
      </c>
      <c r="F20" s="118">
        <v>22</v>
      </c>
      <c r="G20" s="45" t="s">
        <v>65</v>
      </c>
      <c r="H20" s="118">
        <v>23</v>
      </c>
      <c r="I20" s="45" t="s">
        <v>65</v>
      </c>
      <c r="J20" s="118">
        <v>23</v>
      </c>
      <c r="K20" s="45" t="s">
        <v>65</v>
      </c>
      <c r="L20" s="118">
        <v>21</v>
      </c>
      <c r="M20" s="45" t="s">
        <v>65</v>
      </c>
      <c r="N20" s="118">
        <v>21</v>
      </c>
      <c r="O20" s="45" t="s">
        <v>65</v>
      </c>
      <c r="P20" s="118">
        <v>20</v>
      </c>
      <c r="Q20" s="45" t="s">
        <v>65</v>
      </c>
      <c r="R20" s="118">
        <v>19</v>
      </c>
      <c r="S20" s="45" t="s">
        <v>65</v>
      </c>
      <c r="T20" s="118">
        <v>18</v>
      </c>
      <c r="U20" s="45" t="s">
        <v>65</v>
      </c>
      <c r="V20" s="118">
        <v>19</v>
      </c>
      <c r="W20" s="45" t="s">
        <v>65</v>
      </c>
      <c r="X20" s="118">
        <v>19</v>
      </c>
      <c r="Y20" s="45" t="s">
        <v>65</v>
      </c>
      <c r="Z20" s="118">
        <v>19</v>
      </c>
      <c r="AA20" s="45" t="s">
        <v>65</v>
      </c>
      <c r="AB20" s="118">
        <v>17</v>
      </c>
    </row>
    <row r="21" spans="1:28" ht="10" customHeight="1" x14ac:dyDescent="0.55000000000000004">
      <c r="A21" s="27"/>
      <c r="B21" s="27"/>
      <c r="C21" s="45" t="s">
        <v>40</v>
      </c>
      <c r="D21" s="45">
        <v>200</v>
      </c>
      <c r="E21" s="153" t="s">
        <v>40</v>
      </c>
      <c r="F21" s="118">
        <v>22</v>
      </c>
      <c r="G21" s="45" t="s">
        <v>40</v>
      </c>
      <c r="H21" s="118">
        <v>23</v>
      </c>
      <c r="I21" s="45" t="s">
        <v>40</v>
      </c>
      <c r="J21" s="118">
        <v>23</v>
      </c>
      <c r="K21" s="45" t="s">
        <v>40</v>
      </c>
      <c r="L21" s="118">
        <v>21</v>
      </c>
      <c r="M21" s="45" t="s">
        <v>40</v>
      </c>
      <c r="N21" s="118">
        <v>21</v>
      </c>
      <c r="O21" s="48"/>
      <c r="P21" s="146"/>
      <c r="Q21" s="48"/>
      <c r="R21" s="146"/>
      <c r="S21" s="48"/>
      <c r="T21" s="146"/>
      <c r="U21" s="48"/>
      <c r="V21" s="146"/>
      <c r="W21" s="48"/>
      <c r="X21" s="146"/>
      <c r="Y21" s="48"/>
      <c r="Z21" s="146"/>
      <c r="AA21" s="48"/>
      <c r="AB21" s="146"/>
    </row>
    <row r="22" spans="1:28" ht="10" customHeight="1" x14ac:dyDescent="0.55000000000000004">
      <c r="A22" s="27"/>
      <c r="B22" s="27"/>
      <c r="C22" s="45" t="s">
        <v>204</v>
      </c>
      <c r="D22" s="45">
        <v>130</v>
      </c>
      <c r="E22" s="153" t="s">
        <v>204</v>
      </c>
      <c r="F22" s="118">
        <v>7</v>
      </c>
      <c r="G22" s="45" t="s">
        <v>204</v>
      </c>
      <c r="H22" s="118">
        <v>8</v>
      </c>
      <c r="I22" s="45" t="s">
        <v>204</v>
      </c>
      <c r="J22" s="118">
        <v>8</v>
      </c>
      <c r="K22" s="45" t="s">
        <v>204</v>
      </c>
      <c r="L22" s="118">
        <v>8</v>
      </c>
      <c r="M22" s="45" t="s">
        <v>204</v>
      </c>
      <c r="N22" s="118">
        <v>7</v>
      </c>
      <c r="O22" s="45" t="s">
        <v>204</v>
      </c>
      <c r="P22" s="118">
        <v>7</v>
      </c>
      <c r="Q22" s="45" t="s">
        <v>204</v>
      </c>
      <c r="R22" s="118">
        <v>7</v>
      </c>
      <c r="S22" s="45" t="s">
        <v>204</v>
      </c>
      <c r="T22" s="118">
        <v>7</v>
      </c>
      <c r="U22" s="45" t="s">
        <v>204</v>
      </c>
      <c r="V22" s="118">
        <v>6</v>
      </c>
      <c r="W22" s="45" t="s">
        <v>204</v>
      </c>
      <c r="X22" s="118">
        <v>7</v>
      </c>
      <c r="Y22" s="45" t="s">
        <v>204</v>
      </c>
      <c r="Z22" s="118">
        <v>7</v>
      </c>
      <c r="AA22" s="45" t="s">
        <v>204</v>
      </c>
      <c r="AB22" s="118">
        <v>6</v>
      </c>
    </row>
    <row r="23" spans="1:28" ht="10" customHeight="1" x14ac:dyDescent="0.55000000000000004">
      <c r="A23" s="27"/>
      <c r="B23" s="27"/>
      <c r="C23" s="45" t="s">
        <v>69</v>
      </c>
      <c r="D23" s="45">
        <v>200</v>
      </c>
      <c r="E23" s="153" t="s">
        <v>69</v>
      </c>
      <c r="F23" s="118">
        <v>22</v>
      </c>
      <c r="G23" s="45" t="s">
        <v>69</v>
      </c>
      <c r="H23" s="118">
        <v>22</v>
      </c>
      <c r="I23" s="45" t="s">
        <v>69</v>
      </c>
      <c r="J23" s="118">
        <v>23</v>
      </c>
      <c r="K23" s="45" t="s">
        <v>69</v>
      </c>
      <c r="L23" s="118">
        <v>21</v>
      </c>
      <c r="M23" s="45" t="s">
        <v>69</v>
      </c>
      <c r="N23" s="118">
        <v>21</v>
      </c>
      <c r="O23" s="45" t="s">
        <v>69</v>
      </c>
      <c r="P23" s="118">
        <v>20</v>
      </c>
      <c r="Q23" s="45" t="s">
        <v>69</v>
      </c>
      <c r="R23" s="118">
        <v>19</v>
      </c>
      <c r="S23" s="45" t="s">
        <v>69</v>
      </c>
      <c r="T23" s="118">
        <v>18</v>
      </c>
      <c r="U23" s="45" t="s">
        <v>69</v>
      </c>
      <c r="V23" s="118">
        <v>19</v>
      </c>
      <c r="W23" s="45" t="s">
        <v>69</v>
      </c>
      <c r="X23" s="118">
        <v>19</v>
      </c>
      <c r="Y23" s="45" t="s">
        <v>69</v>
      </c>
      <c r="Z23" s="118">
        <v>19</v>
      </c>
      <c r="AA23" s="45" t="s">
        <v>69</v>
      </c>
      <c r="AB23" s="118">
        <v>17</v>
      </c>
    </row>
    <row r="24" spans="1:28" ht="10" customHeight="1" x14ac:dyDescent="0.55000000000000004">
      <c r="A24" s="27"/>
      <c r="B24" s="27"/>
      <c r="C24" s="45" t="s">
        <v>44</v>
      </c>
      <c r="D24" s="45">
        <v>200</v>
      </c>
      <c r="E24" s="153" t="s">
        <v>44</v>
      </c>
      <c r="F24" s="118">
        <v>22</v>
      </c>
      <c r="G24" s="45" t="s">
        <v>44</v>
      </c>
      <c r="H24" s="118">
        <v>23</v>
      </c>
      <c r="I24" s="45" t="s">
        <v>44</v>
      </c>
      <c r="J24" s="118">
        <v>23</v>
      </c>
      <c r="K24" s="45" t="s">
        <v>44</v>
      </c>
      <c r="L24" s="118">
        <v>21</v>
      </c>
      <c r="M24" s="45" t="s">
        <v>44</v>
      </c>
      <c r="N24" s="118">
        <v>21</v>
      </c>
      <c r="O24" s="45" t="s">
        <v>44</v>
      </c>
      <c r="P24" s="118">
        <v>20</v>
      </c>
      <c r="Q24" s="45" t="s">
        <v>44</v>
      </c>
      <c r="R24" s="118">
        <v>19</v>
      </c>
      <c r="S24" s="45" t="s">
        <v>44</v>
      </c>
      <c r="T24" s="118">
        <v>18</v>
      </c>
      <c r="U24" s="45" t="s">
        <v>44</v>
      </c>
      <c r="V24" s="118">
        <v>19</v>
      </c>
      <c r="W24" s="45" t="s">
        <v>44</v>
      </c>
      <c r="X24" s="118">
        <v>19</v>
      </c>
      <c r="Y24" s="45" t="s">
        <v>44</v>
      </c>
      <c r="Z24" s="118">
        <v>19</v>
      </c>
      <c r="AA24" s="45" t="s">
        <v>44</v>
      </c>
      <c r="AB24" s="118">
        <v>17</v>
      </c>
    </row>
    <row r="25" spans="1:28" ht="10" customHeight="1" x14ac:dyDescent="0.55000000000000004">
      <c r="A25" s="27"/>
      <c r="B25" s="27"/>
      <c r="C25" s="45" t="s">
        <v>205</v>
      </c>
      <c r="D25" s="45">
        <v>200</v>
      </c>
      <c r="E25" s="153" t="s">
        <v>205</v>
      </c>
      <c r="F25" s="118">
        <v>18</v>
      </c>
      <c r="G25" s="45" t="s">
        <v>205</v>
      </c>
      <c r="H25" s="118">
        <v>22</v>
      </c>
      <c r="I25" s="45" t="s">
        <v>205</v>
      </c>
      <c r="J25" s="118">
        <v>23</v>
      </c>
      <c r="K25" s="45" t="s">
        <v>205</v>
      </c>
      <c r="L25" s="118">
        <v>21</v>
      </c>
      <c r="M25" s="45" t="s">
        <v>205</v>
      </c>
      <c r="N25" s="118">
        <v>21</v>
      </c>
      <c r="O25" s="45" t="s">
        <v>205</v>
      </c>
      <c r="P25" s="118">
        <v>20</v>
      </c>
      <c r="Q25" s="45" t="s">
        <v>205</v>
      </c>
      <c r="R25" s="118">
        <v>15</v>
      </c>
      <c r="S25" s="45" t="s">
        <v>205</v>
      </c>
      <c r="T25" s="118">
        <v>12</v>
      </c>
      <c r="U25" s="45" t="s">
        <v>205</v>
      </c>
      <c r="V25" s="118">
        <v>12</v>
      </c>
      <c r="W25" s="45" t="s">
        <v>205</v>
      </c>
      <c r="X25" s="118">
        <v>12</v>
      </c>
      <c r="Y25" s="45" t="s">
        <v>205</v>
      </c>
      <c r="Z25" s="118">
        <v>12</v>
      </c>
      <c r="AA25" s="45" t="s">
        <v>205</v>
      </c>
      <c r="AB25" s="118">
        <v>10</v>
      </c>
    </row>
    <row r="26" spans="1:28" ht="10" customHeight="1" x14ac:dyDescent="0.55000000000000004">
      <c r="A26" s="27"/>
      <c r="B26" s="27"/>
      <c r="C26" s="45" t="s">
        <v>70</v>
      </c>
      <c r="D26" s="45">
        <v>200</v>
      </c>
      <c r="E26" s="153" t="s">
        <v>70</v>
      </c>
      <c r="F26" s="118">
        <v>8</v>
      </c>
      <c r="G26" s="45" t="s">
        <v>70</v>
      </c>
      <c r="H26" s="118">
        <v>10</v>
      </c>
      <c r="I26" s="45" t="s">
        <v>70</v>
      </c>
      <c r="J26" s="118">
        <v>10</v>
      </c>
      <c r="K26" s="45" t="s">
        <v>70</v>
      </c>
      <c r="L26" s="118">
        <v>10</v>
      </c>
      <c r="M26" s="45" t="s">
        <v>70</v>
      </c>
      <c r="N26" s="118">
        <v>10</v>
      </c>
      <c r="O26" s="45" t="s">
        <v>70</v>
      </c>
      <c r="P26" s="118">
        <v>10</v>
      </c>
      <c r="Q26" s="45" t="s">
        <v>70</v>
      </c>
      <c r="R26" s="118">
        <v>10</v>
      </c>
      <c r="S26" s="45" t="s">
        <v>70</v>
      </c>
      <c r="T26" s="118">
        <v>10</v>
      </c>
      <c r="U26" s="45" t="s">
        <v>70</v>
      </c>
      <c r="V26" s="118">
        <v>10</v>
      </c>
      <c r="W26" s="45" t="s">
        <v>70</v>
      </c>
      <c r="X26" s="118">
        <v>10</v>
      </c>
      <c r="Y26" s="45" t="s">
        <v>70</v>
      </c>
      <c r="Z26" s="118">
        <v>10</v>
      </c>
      <c r="AA26" s="45" t="s">
        <v>70</v>
      </c>
      <c r="AB26" s="118">
        <v>10</v>
      </c>
    </row>
    <row r="27" spans="1:28" ht="10" customHeight="1" x14ac:dyDescent="0.55000000000000004">
      <c r="A27" s="27"/>
      <c r="B27" s="27"/>
      <c r="C27" s="45" t="s">
        <v>71</v>
      </c>
      <c r="D27" s="45">
        <v>100</v>
      </c>
      <c r="E27" s="153" t="s">
        <v>71</v>
      </c>
      <c r="F27" s="118">
        <v>8</v>
      </c>
      <c r="G27" s="45" t="s">
        <v>71</v>
      </c>
      <c r="H27" s="118">
        <v>6</v>
      </c>
      <c r="I27" s="45" t="s">
        <v>71</v>
      </c>
      <c r="J27" s="118">
        <v>6</v>
      </c>
      <c r="K27" s="45" t="s">
        <v>71</v>
      </c>
      <c r="L27" s="118">
        <v>10</v>
      </c>
      <c r="M27" s="45" t="s">
        <v>71</v>
      </c>
      <c r="N27" s="118">
        <v>10</v>
      </c>
      <c r="O27" s="45" t="s">
        <v>71</v>
      </c>
      <c r="P27" s="118">
        <v>4</v>
      </c>
      <c r="Q27" s="45" t="s">
        <v>71</v>
      </c>
      <c r="R27" s="118">
        <v>6</v>
      </c>
      <c r="S27" s="45" t="s">
        <v>71</v>
      </c>
      <c r="T27" s="118">
        <v>6</v>
      </c>
      <c r="U27" s="45" t="s">
        <v>71</v>
      </c>
      <c r="V27" s="118">
        <v>6</v>
      </c>
      <c r="W27" s="45" t="s">
        <v>71</v>
      </c>
      <c r="X27" s="118">
        <v>6</v>
      </c>
      <c r="Y27" s="45" t="s">
        <v>71</v>
      </c>
      <c r="Z27" s="118">
        <v>6</v>
      </c>
      <c r="AA27" s="45" t="s">
        <v>71</v>
      </c>
      <c r="AB27" s="118">
        <v>6</v>
      </c>
    </row>
    <row r="28" spans="1:28" ht="10" customHeight="1" x14ac:dyDescent="0.55000000000000004">
      <c r="A28" s="27"/>
      <c r="B28" s="27"/>
      <c r="C28" s="45" t="s">
        <v>72</v>
      </c>
      <c r="D28" s="45">
        <v>200</v>
      </c>
      <c r="E28" s="153" t="s">
        <v>72</v>
      </c>
      <c r="F28" s="118">
        <v>22</v>
      </c>
      <c r="G28" s="45" t="s">
        <v>72</v>
      </c>
      <c r="H28" s="118">
        <v>23</v>
      </c>
      <c r="I28" s="45" t="s">
        <v>72</v>
      </c>
      <c r="J28" s="118">
        <v>23</v>
      </c>
      <c r="K28" s="45" t="s">
        <v>72</v>
      </c>
      <c r="L28" s="118">
        <v>21</v>
      </c>
      <c r="M28" s="45" t="s">
        <v>72</v>
      </c>
      <c r="N28" s="118">
        <v>21</v>
      </c>
      <c r="O28" s="45" t="s">
        <v>72</v>
      </c>
      <c r="P28" s="118">
        <v>20</v>
      </c>
      <c r="Q28" s="45" t="s">
        <v>72</v>
      </c>
      <c r="R28" s="118">
        <v>19</v>
      </c>
      <c r="S28" s="45" t="s">
        <v>72</v>
      </c>
      <c r="T28" s="118">
        <v>18</v>
      </c>
      <c r="U28" s="45" t="s">
        <v>72</v>
      </c>
      <c r="V28" s="118">
        <v>19</v>
      </c>
      <c r="W28" s="45" t="s">
        <v>72</v>
      </c>
      <c r="X28" s="118">
        <v>19</v>
      </c>
      <c r="Y28" s="45" t="s">
        <v>72</v>
      </c>
      <c r="Z28" s="118">
        <v>19</v>
      </c>
      <c r="AA28" s="45" t="s">
        <v>72</v>
      </c>
      <c r="AB28" s="118">
        <v>18</v>
      </c>
    </row>
    <row r="29" spans="1:28" ht="10" customHeight="1" x14ac:dyDescent="0.55000000000000004">
      <c r="A29" s="80" t="s">
        <v>409</v>
      </c>
      <c r="B29" s="27"/>
      <c r="C29" s="45" t="s">
        <v>74</v>
      </c>
      <c r="D29" s="45">
        <v>110</v>
      </c>
      <c r="E29" s="153" t="s">
        <v>74</v>
      </c>
      <c r="F29" s="118">
        <v>4</v>
      </c>
      <c r="G29" s="45" t="s">
        <v>74</v>
      </c>
      <c r="H29" s="118">
        <v>4</v>
      </c>
      <c r="I29" s="45" t="s">
        <v>74</v>
      </c>
      <c r="J29" s="118">
        <v>4</v>
      </c>
      <c r="K29" s="45" t="s">
        <v>74</v>
      </c>
      <c r="L29" s="118">
        <v>6</v>
      </c>
      <c r="M29" s="45" t="s">
        <v>74</v>
      </c>
      <c r="N29" s="118">
        <v>7</v>
      </c>
      <c r="O29" s="45" t="s">
        <v>74</v>
      </c>
      <c r="P29" s="118">
        <v>6</v>
      </c>
      <c r="Q29" s="45" t="s">
        <v>74</v>
      </c>
      <c r="R29" s="118">
        <v>6</v>
      </c>
      <c r="S29" s="45" t="s">
        <v>74</v>
      </c>
      <c r="T29" s="118">
        <v>6</v>
      </c>
      <c r="U29" s="45" t="s">
        <v>74</v>
      </c>
      <c r="V29" s="118">
        <v>6</v>
      </c>
      <c r="W29" s="45" t="s">
        <v>74</v>
      </c>
      <c r="X29" s="118">
        <v>6</v>
      </c>
      <c r="Y29" s="45" t="s">
        <v>74</v>
      </c>
      <c r="Z29" s="118">
        <v>6</v>
      </c>
      <c r="AA29" s="45" t="s">
        <v>74</v>
      </c>
      <c r="AB29" s="118">
        <v>5</v>
      </c>
    </row>
    <row r="30" spans="1:28" ht="10" customHeight="1" x14ac:dyDescent="0.55000000000000004">
      <c r="A30" s="80" t="s">
        <v>408</v>
      </c>
      <c r="B30" s="27"/>
      <c r="C30" s="45"/>
      <c r="D30" s="45"/>
      <c r="E30" s="153"/>
      <c r="F30" s="118"/>
      <c r="G30" s="45" t="s">
        <v>161</v>
      </c>
      <c r="H30" s="118">
        <v>0</v>
      </c>
      <c r="I30" s="51" t="s">
        <v>161</v>
      </c>
      <c r="J30" s="118">
        <v>3</v>
      </c>
      <c r="K30" s="51" t="s">
        <v>161</v>
      </c>
      <c r="L30" s="226">
        <v>5</v>
      </c>
      <c r="M30" s="45" t="s">
        <v>161</v>
      </c>
      <c r="N30" s="118">
        <v>10</v>
      </c>
      <c r="O30" s="45" t="s">
        <v>161</v>
      </c>
      <c r="P30" s="118">
        <v>16</v>
      </c>
      <c r="Q30" s="45" t="s">
        <v>161</v>
      </c>
      <c r="R30" s="118">
        <v>16</v>
      </c>
      <c r="S30" s="45" t="s">
        <v>161</v>
      </c>
      <c r="T30" s="118">
        <v>15</v>
      </c>
      <c r="U30" s="45" t="s">
        <v>161</v>
      </c>
      <c r="V30" s="118">
        <v>15</v>
      </c>
      <c r="W30" s="45" t="s">
        <v>161</v>
      </c>
      <c r="X30" s="118">
        <v>15</v>
      </c>
      <c r="Y30" s="45" t="s">
        <v>161</v>
      </c>
      <c r="Z30" s="118">
        <v>15</v>
      </c>
      <c r="AA30" s="45" t="s">
        <v>161</v>
      </c>
      <c r="AB30" s="118">
        <v>13</v>
      </c>
    </row>
    <row r="31" spans="1:28" ht="10" customHeight="1" x14ac:dyDescent="0.55000000000000004">
      <c r="A31" s="80" t="s">
        <v>407</v>
      </c>
      <c r="B31" s="27"/>
      <c r="C31" s="45"/>
      <c r="D31" s="45"/>
      <c r="E31" s="153"/>
      <c r="F31" s="118"/>
      <c r="G31" s="45"/>
      <c r="H31" s="118"/>
      <c r="I31" s="45"/>
      <c r="J31" s="118"/>
      <c r="K31" s="45"/>
      <c r="L31" s="118"/>
      <c r="M31" s="51" t="s">
        <v>163</v>
      </c>
      <c r="N31" s="226">
        <v>6</v>
      </c>
      <c r="O31" s="45" t="s">
        <v>163</v>
      </c>
      <c r="P31" s="118">
        <v>15</v>
      </c>
      <c r="Q31" s="45" t="s">
        <v>163</v>
      </c>
      <c r="R31" s="118">
        <v>22</v>
      </c>
      <c r="S31" s="45" t="s">
        <v>163</v>
      </c>
      <c r="T31" s="118">
        <v>20</v>
      </c>
      <c r="U31" s="45" t="s">
        <v>163</v>
      </c>
      <c r="V31" s="118">
        <v>19</v>
      </c>
      <c r="W31" s="45" t="s">
        <v>163</v>
      </c>
      <c r="X31" s="118">
        <v>19</v>
      </c>
      <c r="Y31" s="45" t="s">
        <v>163</v>
      </c>
      <c r="Z31" s="118">
        <v>19</v>
      </c>
      <c r="AA31" s="45" t="s">
        <v>163</v>
      </c>
      <c r="AB31" s="118">
        <v>17</v>
      </c>
    </row>
    <row r="32" spans="1:28" ht="10" customHeight="1" x14ac:dyDescent="0.55000000000000004">
      <c r="A32" s="27"/>
      <c r="B32" s="27"/>
      <c r="C32" s="45"/>
      <c r="D32" s="45"/>
      <c r="E32" s="153"/>
      <c r="F32" s="118"/>
      <c r="G32" s="45"/>
      <c r="H32" s="118"/>
      <c r="I32" s="45"/>
      <c r="J32" s="118"/>
      <c r="K32" s="45"/>
      <c r="L32" s="118"/>
      <c r="M32" s="45"/>
      <c r="N32" s="118"/>
      <c r="O32" s="51" t="s">
        <v>162</v>
      </c>
      <c r="P32" s="226">
        <v>6</v>
      </c>
      <c r="Q32" s="45" t="s">
        <v>162</v>
      </c>
      <c r="R32" s="118">
        <v>15</v>
      </c>
      <c r="S32" s="45" t="s">
        <v>162</v>
      </c>
      <c r="T32" s="118">
        <v>15</v>
      </c>
      <c r="U32" s="45" t="s">
        <v>162</v>
      </c>
      <c r="V32" s="118">
        <v>15</v>
      </c>
      <c r="W32" s="45" t="s">
        <v>162</v>
      </c>
      <c r="X32" s="118">
        <v>15</v>
      </c>
      <c r="Y32" s="45" t="s">
        <v>162</v>
      </c>
      <c r="Z32" s="118">
        <v>15</v>
      </c>
      <c r="AA32" s="45" t="s">
        <v>162</v>
      </c>
      <c r="AB32" s="118">
        <v>13</v>
      </c>
    </row>
    <row r="33" spans="1:28" ht="10" customHeight="1" x14ac:dyDescent="0.55000000000000004">
      <c r="A33" s="27"/>
      <c r="B33" s="27"/>
      <c r="C33" s="45"/>
      <c r="D33" s="45"/>
      <c r="E33" s="153"/>
      <c r="F33" s="118"/>
      <c r="G33" s="45"/>
      <c r="H33" s="118"/>
      <c r="I33" s="45"/>
      <c r="J33" s="118"/>
      <c r="K33" s="45"/>
      <c r="L33" s="118"/>
      <c r="M33" s="45"/>
      <c r="N33" s="118"/>
      <c r="O33" s="51" t="s">
        <v>164</v>
      </c>
      <c r="P33" s="226">
        <v>6</v>
      </c>
      <c r="Q33" s="45" t="s">
        <v>164</v>
      </c>
      <c r="R33" s="118">
        <v>15</v>
      </c>
      <c r="S33" s="45" t="s">
        <v>164</v>
      </c>
      <c r="T33" s="118">
        <v>20</v>
      </c>
      <c r="U33" s="45" t="s">
        <v>164</v>
      </c>
      <c r="V33" s="118">
        <v>18</v>
      </c>
      <c r="W33" s="45" t="s">
        <v>164</v>
      </c>
      <c r="X33" s="118">
        <v>18</v>
      </c>
      <c r="Y33" s="45" t="s">
        <v>164</v>
      </c>
      <c r="Z33" s="118">
        <v>19</v>
      </c>
      <c r="AA33" s="45" t="s">
        <v>164</v>
      </c>
      <c r="AB33" s="118">
        <v>17</v>
      </c>
    </row>
    <row r="34" spans="1:28" ht="10" customHeight="1" x14ac:dyDescent="0.55000000000000004">
      <c r="A34" s="27"/>
      <c r="B34" s="27"/>
      <c r="C34" s="45"/>
      <c r="D34" s="45"/>
      <c r="E34" s="153"/>
      <c r="F34" s="118"/>
      <c r="G34" s="45"/>
      <c r="H34" s="118"/>
      <c r="I34" s="45"/>
      <c r="J34" s="118"/>
      <c r="K34" s="45"/>
      <c r="L34" s="118"/>
      <c r="M34" s="45"/>
      <c r="N34" s="118"/>
      <c r="O34" s="222" t="s">
        <v>406</v>
      </c>
      <c r="P34" s="223">
        <v>20</v>
      </c>
      <c r="Q34" s="222" t="s">
        <v>406</v>
      </c>
      <c r="R34" s="223">
        <v>20</v>
      </c>
      <c r="S34" s="51" t="s">
        <v>165</v>
      </c>
      <c r="T34" s="226">
        <v>6</v>
      </c>
      <c r="U34" s="45" t="s">
        <v>165</v>
      </c>
      <c r="V34" s="118">
        <v>15</v>
      </c>
      <c r="W34" s="45" t="s">
        <v>165</v>
      </c>
      <c r="X34" s="118">
        <v>15</v>
      </c>
      <c r="Y34" s="45" t="s">
        <v>165</v>
      </c>
      <c r="Z34" s="118">
        <v>15</v>
      </c>
      <c r="AA34" s="45" t="s">
        <v>165</v>
      </c>
      <c r="AB34" s="118">
        <v>13</v>
      </c>
    </row>
    <row r="35" spans="1:28" ht="10" customHeight="1" x14ac:dyDescent="0.55000000000000004">
      <c r="A35" s="27"/>
      <c r="B35" s="27"/>
      <c r="C35" s="45"/>
      <c r="D35" s="45"/>
      <c r="E35" s="153"/>
      <c r="F35" s="118"/>
      <c r="G35" s="45"/>
      <c r="H35" s="118"/>
      <c r="I35" s="45"/>
      <c r="J35" s="118"/>
      <c r="K35" s="45"/>
      <c r="L35" s="118"/>
      <c r="M35" s="45"/>
      <c r="N35" s="118"/>
      <c r="O35" s="45"/>
      <c r="P35" s="118"/>
      <c r="Q35" s="45"/>
      <c r="R35" s="118"/>
      <c r="S35" s="222" t="s">
        <v>406</v>
      </c>
      <c r="T35" s="223">
        <v>20</v>
      </c>
      <c r="U35" s="222" t="s">
        <v>406</v>
      </c>
      <c r="V35" s="223">
        <v>20</v>
      </c>
      <c r="W35" s="222" t="s">
        <v>406</v>
      </c>
      <c r="X35" s="223">
        <v>20</v>
      </c>
      <c r="Y35" s="51" t="s">
        <v>166</v>
      </c>
      <c r="Z35" s="226">
        <v>6</v>
      </c>
      <c r="AA35" s="45" t="s">
        <v>166</v>
      </c>
      <c r="AB35" s="118">
        <v>12</v>
      </c>
    </row>
    <row r="36" spans="1:28" ht="10" customHeight="1" x14ac:dyDescent="0.55000000000000004">
      <c r="A36" s="27"/>
      <c r="B36" s="27"/>
      <c r="C36" s="45"/>
      <c r="D36" s="45"/>
      <c r="E36" s="153"/>
      <c r="F36" s="118"/>
      <c r="G36" s="45"/>
      <c r="H36" s="118"/>
      <c r="I36" s="45"/>
      <c r="J36" s="118"/>
      <c r="K36" s="45"/>
      <c r="L36" s="118"/>
      <c r="M36" s="45"/>
      <c r="N36" s="118"/>
      <c r="O36" s="45"/>
      <c r="P36" s="118"/>
      <c r="Q36" s="45"/>
      <c r="R36" s="118"/>
      <c r="S36" s="45"/>
      <c r="T36" s="118"/>
      <c r="U36" s="45"/>
      <c r="V36" s="118"/>
      <c r="W36" s="45"/>
      <c r="X36" s="118"/>
      <c r="Y36" s="51" t="s">
        <v>167</v>
      </c>
      <c r="Z36" s="226">
        <v>6</v>
      </c>
      <c r="AA36" s="45" t="s">
        <v>167</v>
      </c>
      <c r="AB36" s="118">
        <v>12</v>
      </c>
    </row>
    <row r="37" spans="1:28" ht="10" customHeight="1" x14ac:dyDescent="0.55000000000000004">
      <c r="A37" s="27"/>
      <c r="B37" s="27"/>
      <c r="C37" s="45"/>
      <c r="D37" s="45"/>
      <c r="E37" s="153"/>
      <c r="F37" s="118"/>
      <c r="G37" s="45"/>
      <c r="H37" s="118"/>
      <c r="I37" s="45"/>
      <c r="J37" s="118"/>
      <c r="K37" s="45"/>
      <c r="L37" s="118"/>
      <c r="M37" s="45"/>
      <c r="N37" s="118"/>
      <c r="O37" s="45"/>
      <c r="P37" s="118"/>
      <c r="Q37" s="45"/>
      <c r="R37" s="118"/>
      <c r="S37" s="45"/>
      <c r="T37" s="118"/>
      <c r="U37" s="45"/>
      <c r="V37" s="118"/>
      <c r="W37" s="45"/>
      <c r="X37" s="118"/>
      <c r="Y37" s="222" t="s">
        <v>406</v>
      </c>
      <c r="Z37" s="223">
        <v>20</v>
      </c>
      <c r="AA37" s="222" t="s">
        <v>406</v>
      </c>
      <c r="AB37" s="223">
        <v>20</v>
      </c>
    </row>
    <row r="38" spans="1:28" ht="10" customHeight="1" x14ac:dyDescent="0.55000000000000004">
      <c r="A38" s="27"/>
      <c r="B38" s="27"/>
      <c r="C38" s="45">
        <f>COUNTA(C16:C37)</f>
        <v>14</v>
      </c>
      <c r="D38" s="45">
        <f>SUM(D16:D37)</f>
        <v>2540</v>
      </c>
      <c r="E38" s="153">
        <f>COUNTA(E16:E37)</f>
        <v>14</v>
      </c>
      <c r="F38" s="118">
        <f>SUM(F16:F37)</f>
        <v>221</v>
      </c>
      <c r="G38" s="153">
        <f>COUNTA(G16:G37)</f>
        <v>15</v>
      </c>
      <c r="H38" s="118">
        <f>SUM(H16:H37)</f>
        <v>235</v>
      </c>
      <c r="I38" s="153">
        <f>COUNTA(I16:I37)</f>
        <v>15</v>
      </c>
      <c r="J38" s="118">
        <f>SUM(J16:J37)</f>
        <v>233</v>
      </c>
      <c r="K38" s="153">
        <f>COUNTA(K16:K29)</f>
        <v>14</v>
      </c>
      <c r="L38" s="118">
        <f>SUM(L16:L37)</f>
        <v>233</v>
      </c>
      <c r="M38" s="153">
        <f>COUNTA(M16:M30)</f>
        <v>15</v>
      </c>
      <c r="N38" s="118">
        <f>SUM(N16:N37)</f>
        <v>245</v>
      </c>
      <c r="O38" s="153">
        <f>COUNTA(O16:O31)</f>
        <v>15</v>
      </c>
      <c r="P38" s="118">
        <f>SUM(P16:P37)</f>
        <v>257</v>
      </c>
      <c r="Q38" s="153">
        <f>COUNTA(Q16:Q33)</f>
        <v>17</v>
      </c>
      <c r="R38" s="118">
        <f>SUM(R16:R37)</f>
        <v>271</v>
      </c>
      <c r="S38" s="153">
        <f>COUNTA(S16:S34)</f>
        <v>18</v>
      </c>
      <c r="T38" s="118">
        <f>SUM(T16:T37)</f>
        <v>269</v>
      </c>
      <c r="U38" s="153">
        <f>COUNTA(U16:U34)</f>
        <v>18</v>
      </c>
      <c r="V38" s="118">
        <f>SUM(V16:V37)</f>
        <v>281</v>
      </c>
      <c r="W38" s="153">
        <f>COUNTA(W16:W34)</f>
        <v>18</v>
      </c>
      <c r="X38" s="118">
        <f>SUM(X16:X37)</f>
        <v>282</v>
      </c>
      <c r="Y38" s="153">
        <f>COUNTA(Y16:Y36)</f>
        <v>20</v>
      </c>
      <c r="Z38" s="118">
        <f>SUM(Z16:Z37)</f>
        <v>295</v>
      </c>
      <c r="AA38" s="153">
        <f>COUNTA(AA16:AA36)</f>
        <v>20</v>
      </c>
      <c r="AB38" s="118">
        <f>SUM(AB16:AB37)</f>
        <v>280</v>
      </c>
    </row>
    <row r="39" spans="1:28" ht="23" customHeight="1" x14ac:dyDescent="0.55000000000000004">
      <c r="A39" s="27"/>
      <c r="B39" s="2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316" t="s">
        <v>340</v>
      </c>
      <c r="P39" s="316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</row>
    <row r="40" spans="1:28" ht="10" customHeight="1" x14ac:dyDescent="0.55000000000000004">
      <c r="A40" s="314" t="s">
        <v>170</v>
      </c>
      <c r="B40" s="315"/>
      <c r="C40" s="253" t="s">
        <v>4</v>
      </c>
      <c r="D40" s="260"/>
      <c r="E40" s="312" t="s">
        <v>5</v>
      </c>
      <c r="F40" s="313"/>
      <c r="G40" s="312" t="s">
        <v>6</v>
      </c>
      <c r="H40" s="313"/>
      <c r="I40" s="312" t="s">
        <v>7</v>
      </c>
      <c r="J40" s="313"/>
      <c r="K40" s="312" t="s">
        <v>8</v>
      </c>
      <c r="L40" s="313"/>
      <c r="M40" s="312" t="s">
        <v>10</v>
      </c>
      <c r="N40" s="313"/>
      <c r="O40" s="312" t="s">
        <v>11</v>
      </c>
      <c r="P40" s="313"/>
      <c r="Q40" s="312" t="s">
        <v>12</v>
      </c>
      <c r="R40" s="313"/>
      <c r="S40" s="312" t="s">
        <v>13</v>
      </c>
      <c r="T40" s="313"/>
      <c r="U40" s="312" t="s">
        <v>14</v>
      </c>
      <c r="V40" s="313"/>
      <c r="W40" s="312" t="s">
        <v>15</v>
      </c>
      <c r="X40" s="313"/>
      <c r="Y40" s="312" t="s">
        <v>16</v>
      </c>
      <c r="Z40" s="313"/>
      <c r="AA40" s="312" t="s">
        <v>4</v>
      </c>
      <c r="AB40" s="313"/>
    </row>
    <row r="41" spans="1:28" ht="10" customHeight="1" x14ac:dyDescent="0.55000000000000004">
      <c r="A41" s="138"/>
      <c r="B41" s="138"/>
      <c r="C41" s="83"/>
      <c r="D41" s="84"/>
      <c r="E41" s="310" t="s">
        <v>339</v>
      </c>
      <c r="F41" s="311"/>
      <c r="G41" s="310"/>
      <c r="H41" s="311"/>
      <c r="I41" s="310"/>
      <c r="J41" s="311"/>
      <c r="K41" s="310"/>
      <c r="L41" s="311"/>
      <c r="M41" s="310"/>
      <c r="N41" s="311"/>
      <c r="O41" s="310"/>
      <c r="P41" s="311"/>
      <c r="Q41" s="310"/>
      <c r="R41" s="311"/>
      <c r="S41" s="310"/>
      <c r="T41" s="311"/>
      <c r="U41" s="310"/>
      <c r="V41" s="311"/>
      <c r="W41" s="310"/>
      <c r="X41" s="311"/>
      <c r="Y41" s="310"/>
      <c r="Z41" s="311"/>
      <c r="AA41" s="310"/>
      <c r="AB41" s="311"/>
    </row>
    <row r="42" spans="1:28" ht="10" customHeight="1" x14ac:dyDescent="0.55000000000000004">
      <c r="C42" s="45" t="s">
        <v>163</v>
      </c>
      <c r="D42" s="45">
        <v>200</v>
      </c>
      <c r="E42" s="308" t="s">
        <v>161</v>
      </c>
      <c r="F42" s="309"/>
      <c r="G42" s="308" t="s">
        <v>162</v>
      </c>
      <c r="H42" s="309"/>
      <c r="I42" s="304" t="s">
        <v>162</v>
      </c>
      <c r="J42" s="305"/>
      <c r="K42" s="304" t="s">
        <v>162</v>
      </c>
      <c r="L42" s="305"/>
      <c r="M42" s="304" t="s">
        <v>162</v>
      </c>
      <c r="N42" s="305"/>
      <c r="O42" s="304" t="s">
        <v>165</v>
      </c>
      <c r="P42" s="305"/>
      <c r="Q42" s="304" t="s">
        <v>165</v>
      </c>
      <c r="R42" s="305"/>
      <c r="S42" s="304" t="s">
        <v>166</v>
      </c>
      <c r="T42" s="305"/>
      <c r="U42" s="304" t="s">
        <v>166</v>
      </c>
      <c r="V42" s="305"/>
      <c r="W42" s="304" t="s">
        <v>166</v>
      </c>
      <c r="X42" s="305"/>
      <c r="Y42" s="304" t="s">
        <v>401</v>
      </c>
      <c r="Z42" s="305"/>
      <c r="AA42" s="304" t="s">
        <v>401</v>
      </c>
      <c r="AB42" s="305"/>
    </row>
    <row r="43" spans="1:28" ht="10" customHeight="1" x14ac:dyDescent="0.55000000000000004">
      <c r="C43" s="45"/>
      <c r="D43" s="45"/>
      <c r="E43" s="308" t="s">
        <v>163</v>
      </c>
      <c r="F43" s="309"/>
      <c r="G43" s="304" t="s">
        <v>163</v>
      </c>
      <c r="H43" s="305"/>
      <c r="I43" s="304" t="s">
        <v>163</v>
      </c>
      <c r="J43" s="305"/>
      <c r="K43" s="304" t="s">
        <v>163</v>
      </c>
      <c r="L43" s="305"/>
      <c r="M43" s="304" t="s">
        <v>164</v>
      </c>
      <c r="N43" s="305"/>
      <c r="O43" s="304" t="s">
        <v>166</v>
      </c>
      <c r="P43" s="305"/>
      <c r="Q43" s="304" t="s">
        <v>166</v>
      </c>
      <c r="R43" s="305"/>
      <c r="S43" s="304" t="s">
        <v>167</v>
      </c>
      <c r="T43" s="305"/>
      <c r="U43" s="304" t="s">
        <v>167</v>
      </c>
      <c r="V43" s="305"/>
      <c r="W43" s="304" t="s">
        <v>167</v>
      </c>
      <c r="X43" s="305"/>
      <c r="Y43" s="304" t="s">
        <v>319</v>
      </c>
      <c r="Z43" s="305"/>
      <c r="AA43" s="304" t="s">
        <v>319</v>
      </c>
      <c r="AB43" s="305"/>
    </row>
    <row r="44" spans="1:28" ht="10" customHeight="1" x14ac:dyDescent="0.55000000000000004">
      <c r="C44" s="45"/>
      <c r="D44" s="45"/>
      <c r="E44" s="308" t="s">
        <v>164</v>
      </c>
      <c r="F44" s="309"/>
      <c r="G44" s="304" t="s">
        <v>164</v>
      </c>
      <c r="H44" s="305"/>
      <c r="I44" s="304" t="s">
        <v>164</v>
      </c>
      <c r="J44" s="305"/>
      <c r="K44" s="304" t="s">
        <v>164</v>
      </c>
      <c r="L44" s="305"/>
      <c r="M44" s="304" t="s">
        <v>165</v>
      </c>
      <c r="N44" s="305"/>
      <c r="O44" s="304" t="s">
        <v>167</v>
      </c>
      <c r="P44" s="305"/>
      <c r="Q44" s="304" t="s">
        <v>167</v>
      </c>
      <c r="R44" s="305"/>
      <c r="S44" s="304" t="s">
        <v>401</v>
      </c>
      <c r="T44" s="305"/>
      <c r="U44" s="304" t="s">
        <v>401</v>
      </c>
      <c r="V44" s="305"/>
      <c r="W44" s="304" t="s">
        <v>401</v>
      </c>
      <c r="X44" s="305"/>
      <c r="Y44" s="306"/>
      <c r="Z44" s="307"/>
      <c r="AA44" s="306"/>
      <c r="AB44" s="307"/>
    </row>
    <row r="45" spans="1:28" ht="10" customHeight="1" x14ac:dyDescent="0.55000000000000004">
      <c r="C45" s="45"/>
      <c r="D45" s="45"/>
      <c r="E45" s="308" t="s">
        <v>165</v>
      </c>
      <c r="F45" s="309"/>
      <c r="G45" s="304" t="s">
        <v>165</v>
      </c>
      <c r="H45" s="305"/>
      <c r="I45" s="304" t="s">
        <v>165</v>
      </c>
      <c r="J45" s="305"/>
      <c r="K45" s="304" t="s">
        <v>165</v>
      </c>
      <c r="L45" s="305"/>
      <c r="M45" s="304" t="s">
        <v>166</v>
      </c>
      <c r="N45" s="305"/>
      <c r="O45" s="308" t="s">
        <v>401</v>
      </c>
      <c r="P45" s="309"/>
      <c r="Q45" s="304" t="s">
        <v>401</v>
      </c>
      <c r="R45" s="305"/>
      <c r="S45" s="306"/>
      <c r="T45" s="307"/>
      <c r="U45" s="308" t="s">
        <v>319</v>
      </c>
      <c r="V45" s="309"/>
      <c r="W45" s="304" t="s">
        <v>319</v>
      </c>
      <c r="X45" s="305"/>
      <c r="Y45" s="306"/>
      <c r="Z45" s="307"/>
      <c r="AA45" s="306"/>
      <c r="AB45" s="307"/>
    </row>
    <row r="46" spans="1:28" ht="10" customHeight="1" x14ac:dyDescent="0.55000000000000004">
      <c r="C46" s="45"/>
      <c r="D46" s="45"/>
      <c r="E46" s="306"/>
      <c r="F46" s="307"/>
      <c r="G46" s="306"/>
      <c r="H46" s="307"/>
      <c r="I46" s="306"/>
      <c r="J46" s="307"/>
      <c r="K46" s="308" t="s">
        <v>166</v>
      </c>
      <c r="L46" s="309"/>
      <c r="M46" s="304" t="s">
        <v>167</v>
      </c>
      <c r="N46" s="305"/>
      <c r="O46" s="306"/>
      <c r="P46" s="307"/>
      <c r="Q46" s="306"/>
      <c r="R46" s="307"/>
      <c r="S46" s="306"/>
      <c r="T46" s="307"/>
      <c r="U46" s="306"/>
      <c r="V46" s="307"/>
      <c r="W46" s="306"/>
      <c r="X46" s="307"/>
      <c r="Y46" s="306"/>
      <c r="Z46" s="307"/>
      <c r="AA46" s="306"/>
      <c r="AB46" s="307"/>
    </row>
    <row r="47" spans="1:28" ht="10" customHeight="1" x14ac:dyDescent="0.55000000000000004">
      <c r="C47" s="45"/>
      <c r="D47" s="45"/>
      <c r="E47" s="306"/>
      <c r="F47" s="307"/>
      <c r="G47" s="306"/>
      <c r="H47" s="307"/>
      <c r="I47" s="306"/>
      <c r="J47" s="307"/>
      <c r="K47" s="308" t="s">
        <v>171</v>
      </c>
      <c r="L47" s="309"/>
      <c r="M47" s="306"/>
      <c r="N47" s="307"/>
      <c r="O47" s="306"/>
      <c r="P47" s="307"/>
      <c r="Q47" s="306"/>
      <c r="R47" s="307"/>
      <c r="S47" s="306"/>
      <c r="T47" s="307"/>
      <c r="U47" s="306"/>
      <c r="V47" s="307"/>
      <c r="W47" s="306"/>
      <c r="X47" s="307"/>
      <c r="Y47" s="306"/>
      <c r="Z47" s="307"/>
      <c r="AA47" s="306"/>
      <c r="AB47" s="307"/>
    </row>
    <row r="48" spans="1:28" ht="10" customHeight="1" x14ac:dyDescent="0.55000000000000004">
      <c r="C48" s="45"/>
      <c r="D48" s="45"/>
      <c r="E48" s="306"/>
      <c r="F48" s="307"/>
      <c r="G48" s="306"/>
      <c r="H48" s="307"/>
      <c r="I48" s="306"/>
      <c r="J48" s="307"/>
      <c r="K48" s="306"/>
      <c r="L48" s="307"/>
      <c r="M48" s="306"/>
      <c r="N48" s="307"/>
      <c r="O48" s="306"/>
      <c r="P48" s="307"/>
      <c r="Q48" s="306"/>
      <c r="R48" s="307"/>
      <c r="S48" s="306"/>
      <c r="T48" s="307"/>
      <c r="U48" s="306"/>
      <c r="V48" s="307"/>
      <c r="W48" s="306"/>
      <c r="X48" s="307"/>
      <c r="Y48" s="306"/>
      <c r="Z48" s="307"/>
      <c r="AA48" s="306"/>
      <c r="AB48" s="307"/>
    </row>
    <row r="49" spans="2:28" ht="10" customHeight="1" x14ac:dyDescent="0.55000000000000004">
      <c r="C49" s="45"/>
      <c r="D49" s="45"/>
      <c r="E49" s="302">
        <f>COUNTA(E41:E48)</f>
        <v>5</v>
      </c>
      <c r="F49" s="303"/>
      <c r="G49" s="302">
        <f>COUNTA(G41:G48)</f>
        <v>4</v>
      </c>
      <c r="H49" s="303"/>
      <c r="I49" s="302">
        <f>COUNTA(I41:I48)</f>
        <v>4</v>
      </c>
      <c r="J49" s="303"/>
      <c r="K49" s="302">
        <f>COUNTA(K41:K48)</f>
        <v>6</v>
      </c>
      <c r="L49" s="303"/>
      <c r="M49" s="302">
        <f>COUNTA(M41:M48)</f>
        <v>5</v>
      </c>
      <c r="N49" s="303"/>
      <c r="O49" s="302">
        <f>COUNTA(O41:O48)</f>
        <v>4</v>
      </c>
      <c r="P49" s="303"/>
      <c r="Q49" s="302">
        <f>COUNTA(Q41:Q48)</f>
        <v>4</v>
      </c>
      <c r="R49" s="303"/>
      <c r="S49" s="302">
        <f>COUNTA(S41:S48)</f>
        <v>3</v>
      </c>
      <c r="T49" s="303"/>
      <c r="U49" s="302">
        <f>COUNTA(U41:U48)</f>
        <v>4</v>
      </c>
      <c r="V49" s="303"/>
      <c r="W49" s="302">
        <f>COUNTA(W41:W48)</f>
        <v>4</v>
      </c>
      <c r="X49" s="303"/>
      <c r="Y49" s="302">
        <f>COUNTA(Y41:Y48)</f>
        <v>2</v>
      </c>
      <c r="Z49" s="303"/>
      <c r="AA49" s="302">
        <f>COUNTA(AA41:AA48)</f>
        <v>2</v>
      </c>
      <c r="AB49" s="303"/>
    </row>
    <row r="50" spans="2:28" ht="10" customHeight="1" x14ac:dyDescent="0.55000000000000004"/>
    <row r="51" spans="2:28" ht="10" customHeight="1" x14ac:dyDescent="0.55000000000000004">
      <c r="U51" s="154" t="s">
        <v>172</v>
      </c>
      <c r="V51" s="154"/>
      <c r="W51" s="154"/>
      <c r="X51" s="154"/>
      <c r="Y51" s="154"/>
      <c r="Z51" s="154"/>
      <c r="AA51" s="154"/>
      <c r="AB51" s="27"/>
    </row>
    <row r="52" spans="2:28" x14ac:dyDescent="0.55000000000000004">
      <c r="B52" s="227"/>
      <c r="D52"/>
      <c r="E52"/>
      <c r="K52" s="227" t="s">
        <v>411</v>
      </c>
    </row>
    <row r="53" spans="2:28" x14ac:dyDescent="0.55000000000000004">
      <c r="D53"/>
      <c r="E53"/>
    </row>
    <row r="54" spans="2:28" x14ac:dyDescent="0.55000000000000004">
      <c r="D54"/>
      <c r="E54"/>
    </row>
    <row r="55" spans="2:28" x14ac:dyDescent="0.55000000000000004">
      <c r="D55"/>
      <c r="E55"/>
    </row>
    <row r="56" spans="2:28" x14ac:dyDescent="0.55000000000000004">
      <c r="D56"/>
      <c r="E56"/>
    </row>
    <row r="57" spans="2:28" x14ac:dyDescent="0.55000000000000004">
      <c r="D57"/>
      <c r="E57"/>
    </row>
    <row r="58" spans="2:28" ht="23" customHeight="1" x14ac:dyDescent="0.55000000000000004">
      <c r="D58"/>
      <c r="E58"/>
    </row>
    <row r="59" spans="2:28" ht="12" customHeight="1" x14ac:dyDescent="0.55000000000000004">
      <c r="D59"/>
      <c r="E59"/>
    </row>
    <row r="60" spans="2:28" ht="12" customHeight="1" x14ac:dyDescent="0.55000000000000004">
      <c r="D60"/>
      <c r="E60"/>
    </row>
    <row r="61" spans="2:28" ht="12" customHeight="1" x14ac:dyDescent="0.55000000000000004">
      <c r="D61"/>
      <c r="E61"/>
    </row>
    <row r="62" spans="2:28" ht="12" customHeight="1" x14ac:dyDescent="0.55000000000000004">
      <c r="D62"/>
      <c r="E62"/>
    </row>
    <row r="63" spans="2:28" ht="12" customHeight="1" x14ac:dyDescent="0.55000000000000004">
      <c r="D63"/>
      <c r="E63"/>
    </row>
    <row r="64" spans="2:28" ht="12" customHeight="1" x14ac:dyDescent="0.55000000000000004">
      <c r="D64"/>
      <c r="E64"/>
    </row>
    <row r="65" spans="4:5" ht="12" customHeight="1" x14ac:dyDescent="0.55000000000000004">
      <c r="D65"/>
      <c r="E65"/>
    </row>
    <row r="66" spans="4:5" ht="12" customHeight="1" x14ac:dyDescent="0.55000000000000004">
      <c r="D66"/>
      <c r="E66"/>
    </row>
    <row r="67" spans="4:5" ht="12" customHeight="1" x14ac:dyDescent="0.55000000000000004">
      <c r="D67"/>
      <c r="E67"/>
    </row>
    <row r="68" spans="4:5" ht="12" customHeight="1" x14ac:dyDescent="0.55000000000000004">
      <c r="D68"/>
      <c r="E68"/>
    </row>
    <row r="69" spans="4:5" ht="12" customHeight="1" x14ac:dyDescent="0.55000000000000004">
      <c r="D69"/>
      <c r="E69"/>
    </row>
    <row r="70" spans="4:5" ht="12" customHeight="1" x14ac:dyDescent="0.55000000000000004">
      <c r="D70"/>
      <c r="E70"/>
    </row>
    <row r="71" spans="4:5" ht="12" customHeight="1" x14ac:dyDescent="0.55000000000000004">
      <c r="D71"/>
      <c r="E71"/>
    </row>
    <row r="72" spans="4:5" ht="12" customHeight="1" x14ac:dyDescent="0.55000000000000004">
      <c r="D72"/>
      <c r="E72"/>
    </row>
    <row r="73" spans="4:5" ht="12" customHeight="1" x14ac:dyDescent="0.55000000000000004">
      <c r="D73"/>
      <c r="E73"/>
    </row>
    <row r="74" spans="4:5" ht="12" customHeight="1" x14ac:dyDescent="0.55000000000000004">
      <c r="D74"/>
      <c r="E74"/>
    </row>
    <row r="75" spans="4:5" ht="12" customHeight="1" x14ac:dyDescent="0.55000000000000004">
      <c r="D75"/>
      <c r="E75"/>
    </row>
    <row r="76" spans="4:5" ht="12" customHeight="1" x14ac:dyDescent="0.55000000000000004">
      <c r="D76"/>
      <c r="E76"/>
    </row>
    <row r="77" spans="4:5" ht="12" customHeight="1" x14ac:dyDescent="0.55000000000000004">
      <c r="D77"/>
      <c r="E77"/>
    </row>
    <row r="78" spans="4:5" ht="12" customHeight="1" x14ac:dyDescent="0.55000000000000004">
      <c r="D78"/>
      <c r="E78"/>
    </row>
    <row r="79" spans="4:5" ht="12" customHeight="1" x14ac:dyDescent="0.55000000000000004">
      <c r="D79"/>
      <c r="E79"/>
    </row>
    <row r="80" spans="4:5" ht="12" customHeight="1" x14ac:dyDescent="0.55000000000000004">
      <c r="D80"/>
      <c r="E80"/>
    </row>
    <row r="81" spans="4:5" ht="12" customHeight="1" x14ac:dyDescent="0.55000000000000004">
      <c r="D81"/>
      <c r="E81"/>
    </row>
    <row r="82" spans="4:5" ht="12" customHeight="1" x14ac:dyDescent="0.55000000000000004">
      <c r="D82"/>
      <c r="E82"/>
    </row>
    <row r="83" spans="4:5" ht="12" customHeight="1" x14ac:dyDescent="0.55000000000000004">
      <c r="D83"/>
      <c r="E83"/>
    </row>
    <row r="84" spans="4:5" ht="12" customHeight="1" x14ac:dyDescent="0.55000000000000004">
      <c r="D84"/>
      <c r="E84"/>
    </row>
    <row r="85" spans="4:5" ht="12" customHeight="1" x14ac:dyDescent="0.55000000000000004">
      <c r="D85"/>
      <c r="E85"/>
    </row>
    <row r="86" spans="4:5" ht="12" customHeight="1" x14ac:dyDescent="0.55000000000000004">
      <c r="D86"/>
      <c r="E86"/>
    </row>
    <row r="87" spans="4:5" ht="12" customHeight="1" x14ac:dyDescent="0.55000000000000004">
      <c r="D87"/>
      <c r="E87"/>
    </row>
    <row r="88" spans="4:5" ht="12" customHeight="1" x14ac:dyDescent="0.55000000000000004">
      <c r="D88"/>
      <c r="E88"/>
    </row>
    <row r="89" spans="4:5" ht="12" customHeight="1" x14ac:dyDescent="0.55000000000000004">
      <c r="D89"/>
      <c r="E89"/>
    </row>
    <row r="90" spans="4:5" ht="12" customHeight="1" x14ac:dyDescent="0.55000000000000004">
      <c r="D90"/>
      <c r="E90"/>
    </row>
    <row r="91" spans="4:5" ht="12" customHeight="1" x14ac:dyDescent="0.55000000000000004">
      <c r="D91"/>
      <c r="E91"/>
    </row>
    <row r="92" spans="4:5" ht="12" customHeight="1" x14ac:dyDescent="0.55000000000000004">
      <c r="D92"/>
      <c r="E92"/>
    </row>
    <row r="93" spans="4:5" ht="12" customHeight="1" x14ac:dyDescent="0.55000000000000004">
      <c r="D93"/>
      <c r="E93"/>
    </row>
    <row r="94" spans="4:5" ht="12" customHeight="1" x14ac:dyDescent="0.55000000000000004">
      <c r="D94"/>
      <c r="E94"/>
    </row>
    <row r="95" spans="4:5" ht="12" customHeight="1" x14ac:dyDescent="0.55000000000000004">
      <c r="D95"/>
      <c r="E95"/>
    </row>
    <row r="96" spans="4:5" ht="12" customHeight="1" x14ac:dyDescent="0.55000000000000004">
      <c r="D96"/>
      <c r="E96"/>
    </row>
    <row r="97" spans="4:5" ht="12" customHeight="1" x14ac:dyDescent="0.55000000000000004">
      <c r="D97"/>
      <c r="E97"/>
    </row>
    <row r="98" spans="4:5" ht="12" customHeight="1" x14ac:dyDescent="0.55000000000000004">
      <c r="D98"/>
      <c r="E98"/>
    </row>
    <row r="99" spans="4:5" ht="12" customHeight="1" x14ac:dyDescent="0.55000000000000004">
      <c r="D99"/>
      <c r="E99"/>
    </row>
    <row r="100" spans="4:5" ht="12" customHeight="1" x14ac:dyDescent="0.55000000000000004">
      <c r="D100"/>
      <c r="E100"/>
    </row>
    <row r="101" spans="4:5" ht="12" customHeight="1" x14ac:dyDescent="0.55000000000000004">
      <c r="D101"/>
      <c r="E101"/>
    </row>
    <row r="102" spans="4:5" ht="12" customHeight="1" x14ac:dyDescent="0.55000000000000004">
      <c r="D102"/>
      <c r="E102"/>
    </row>
    <row r="103" spans="4:5" ht="12" customHeight="1" x14ac:dyDescent="0.55000000000000004">
      <c r="D103"/>
      <c r="E103"/>
    </row>
    <row r="104" spans="4:5" ht="12" customHeight="1" x14ac:dyDescent="0.55000000000000004">
      <c r="D104"/>
      <c r="E104"/>
    </row>
    <row r="105" spans="4:5" ht="12" customHeight="1" x14ac:dyDescent="0.55000000000000004">
      <c r="D105"/>
      <c r="E105"/>
    </row>
    <row r="106" spans="4:5" ht="12" customHeight="1" x14ac:dyDescent="0.55000000000000004">
      <c r="D106"/>
      <c r="E106"/>
    </row>
    <row r="107" spans="4:5" ht="12" customHeight="1" x14ac:dyDescent="0.55000000000000004">
      <c r="D107"/>
      <c r="E107"/>
    </row>
    <row r="108" spans="4:5" ht="12" customHeight="1" x14ac:dyDescent="0.55000000000000004">
      <c r="D108"/>
      <c r="E108"/>
    </row>
    <row r="109" spans="4:5" ht="12" customHeight="1" x14ac:dyDescent="0.55000000000000004">
      <c r="D109"/>
      <c r="E109"/>
    </row>
    <row r="110" spans="4:5" ht="12" customHeight="1" x14ac:dyDescent="0.55000000000000004">
      <c r="D110"/>
      <c r="E110"/>
    </row>
    <row r="111" spans="4:5" ht="12" customHeight="1" x14ac:dyDescent="0.55000000000000004">
      <c r="D111"/>
      <c r="E111"/>
    </row>
    <row r="112" spans="4:5" ht="12" customHeight="1" x14ac:dyDescent="0.55000000000000004">
      <c r="D112"/>
      <c r="E112"/>
    </row>
    <row r="113" spans="4:5" ht="12" customHeight="1" x14ac:dyDescent="0.55000000000000004">
      <c r="D113"/>
      <c r="E113"/>
    </row>
    <row r="114" spans="4:5" ht="12" customHeight="1" x14ac:dyDescent="0.55000000000000004">
      <c r="D114"/>
      <c r="E114"/>
    </row>
    <row r="115" spans="4:5" ht="12" customHeight="1" x14ac:dyDescent="0.55000000000000004">
      <c r="D115"/>
      <c r="E115"/>
    </row>
    <row r="116" spans="4:5" ht="12" customHeight="1" x14ac:dyDescent="0.55000000000000004">
      <c r="D116"/>
      <c r="E116"/>
    </row>
    <row r="117" spans="4:5" ht="12" customHeight="1" x14ac:dyDescent="0.55000000000000004">
      <c r="D117"/>
      <c r="E117"/>
    </row>
    <row r="118" spans="4:5" ht="12" customHeight="1" x14ac:dyDescent="0.55000000000000004">
      <c r="D118"/>
      <c r="E118"/>
    </row>
    <row r="119" spans="4:5" ht="12" customHeight="1" x14ac:dyDescent="0.55000000000000004">
      <c r="D119"/>
      <c r="E119"/>
    </row>
    <row r="120" spans="4:5" ht="12" customHeight="1" x14ac:dyDescent="0.55000000000000004">
      <c r="D120"/>
      <c r="E120"/>
    </row>
    <row r="121" spans="4:5" ht="12" customHeight="1" x14ac:dyDescent="0.55000000000000004">
      <c r="D121"/>
      <c r="E121"/>
    </row>
    <row r="122" spans="4:5" ht="12" customHeight="1" x14ac:dyDescent="0.55000000000000004">
      <c r="D122"/>
      <c r="E122"/>
    </row>
    <row r="123" spans="4:5" ht="12" customHeight="1" x14ac:dyDescent="0.55000000000000004">
      <c r="D123"/>
      <c r="E123"/>
    </row>
    <row r="124" spans="4:5" ht="12" customHeight="1" x14ac:dyDescent="0.55000000000000004">
      <c r="D124"/>
      <c r="E124"/>
    </row>
    <row r="125" spans="4:5" ht="12" customHeight="1" x14ac:dyDescent="0.55000000000000004">
      <c r="D125"/>
      <c r="E125"/>
    </row>
    <row r="126" spans="4:5" ht="12" customHeight="1" x14ac:dyDescent="0.55000000000000004">
      <c r="D126"/>
      <c r="E126"/>
    </row>
    <row r="127" spans="4:5" ht="12" customHeight="1" x14ac:dyDescent="0.55000000000000004">
      <c r="D127"/>
      <c r="E127"/>
    </row>
    <row r="128" spans="4:5" ht="12" customHeight="1" x14ac:dyDescent="0.55000000000000004">
      <c r="D128"/>
      <c r="E128"/>
    </row>
  </sheetData>
  <mergeCells count="263">
    <mergeCell ref="U3:V3"/>
    <mergeCell ref="W3:X3"/>
    <mergeCell ref="Y3:Z3"/>
    <mergeCell ref="AA3:AB3"/>
    <mergeCell ref="A8:B8"/>
    <mergeCell ref="C8:D8"/>
    <mergeCell ref="E8:F8"/>
    <mergeCell ref="G8:H8"/>
    <mergeCell ref="I8:J8"/>
    <mergeCell ref="A7:B7"/>
    <mergeCell ref="C7:D7"/>
    <mergeCell ref="E7:F7"/>
    <mergeCell ref="G7:H7"/>
    <mergeCell ref="I7:J7"/>
    <mergeCell ref="U8:V8"/>
    <mergeCell ref="W8:X8"/>
    <mergeCell ref="Y8:Z8"/>
    <mergeCell ref="AA8:AB8"/>
    <mergeCell ref="K8:L8"/>
    <mergeCell ref="M8:N8"/>
    <mergeCell ref="O8:P8"/>
    <mergeCell ref="Q8:R8"/>
    <mergeCell ref="S8:T8"/>
    <mergeCell ref="A5:B5"/>
    <mergeCell ref="Y2:Z2"/>
    <mergeCell ref="AA2:AB2"/>
    <mergeCell ref="A3:B3"/>
    <mergeCell ref="C3:D3"/>
    <mergeCell ref="E3:F3"/>
    <mergeCell ref="G3:H3"/>
    <mergeCell ref="I3:J3"/>
    <mergeCell ref="K3:L3"/>
    <mergeCell ref="M3:N3"/>
    <mergeCell ref="O3:P3"/>
    <mergeCell ref="M2:N2"/>
    <mergeCell ref="O2:P2"/>
    <mergeCell ref="Q2:R2"/>
    <mergeCell ref="S2:T2"/>
    <mergeCell ref="U2:V2"/>
    <mergeCell ref="W2:X2"/>
    <mergeCell ref="A2:B2"/>
    <mergeCell ref="C2:D2"/>
    <mergeCell ref="E2:F2"/>
    <mergeCell ref="G2:H2"/>
    <mergeCell ref="I2:J2"/>
    <mergeCell ref="K2:L2"/>
    <mergeCell ref="Q3:R3"/>
    <mergeCell ref="S3:T3"/>
    <mergeCell ref="A4:B4"/>
    <mergeCell ref="C4:D4"/>
    <mergeCell ref="E4:F4"/>
    <mergeCell ref="G4:H4"/>
    <mergeCell ref="I4:J4"/>
    <mergeCell ref="K4:L4"/>
    <mergeCell ref="K9:L9"/>
    <mergeCell ref="Q5:R5"/>
    <mergeCell ref="S5:T5"/>
    <mergeCell ref="S7:T7"/>
    <mergeCell ref="C5:D5"/>
    <mergeCell ref="E5:F5"/>
    <mergeCell ref="G5:H5"/>
    <mergeCell ref="I5:J5"/>
    <mergeCell ref="K5:L5"/>
    <mergeCell ref="M5:N5"/>
    <mergeCell ref="O5:P5"/>
    <mergeCell ref="M4:N4"/>
    <mergeCell ref="O4:P4"/>
    <mergeCell ref="A9:B9"/>
    <mergeCell ref="C9:D9"/>
    <mergeCell ref="E9:F9"/>
    <mergeCell ref="G9:H9"/>
    <mergeCell ref="I9:J9"/>
    <mergeCell ref="U5:V5"/>
    <mergeCell ref="W5:X5"/>
    <mergeCell ref="Y5:Z5"/>
    <mergeCell ref="AA5:AB5"/>
    <mergeCell ref="Y4:Z4"/>
    <mergeCell ref="AA4:AB4"/>
    <mergeCell ref="Q4:R4"/>
    <mergeCell ref="S4:T4"/>
    <mergeCell ref="U4:V4"/>
    <mergeCell ref="W4:X4"/>
    <mergeCell ref="Y7:Z7"/>
    <mergeCell ref="AA7:AB7"/>
    <mergeCell ref="K7:L7"/>
    <mergeCell ref="M7:N7"/>
    <mergeCell ref="O7:P7"/>
    <mergeCell ref="Q7:R7"/>
    <mergeCell ref="W11:X11"/>
    <mergeCell ref="Y11:Z11"/>
    <mergeCell ref="AA11:AB11"/>
    <mergeCell ref="Y9:Z9"/>
    <mergeCell ref="AA9:AB9"/>
    <mergeCell ref="Q9:R9"/>
    <mergeCell ref="S9:T9"/>
    <mergeCell ref="U9:V9"/>
    <mergeCell ref="W9:X9"/>
    <mergeCell ref="M9:N9"/>
    <mergeCell ref="O9:P9"/>
    <mergeCell ref="U7:V7"/>
    <mergeCell ref="W7:X7"/>
    <mergeCell ref="A13:B13"/>
    <mergeCell ref="C13:D13"/>
    <mergeCell ref="E13:F13"/>
    <mergeCell ref="G13:H13"/>
    <mergeCell ref="I13:J13"/>
    <mergeCell ref="K13:L13"/>
    <mergeCell ref="Q11:R11"/>
    <mergeCell ref="S11:T11"/>
    <mergeCell ref="U11:V11"/>
    <mergeCell ref="A11:B11"/>
    <mergeCell ref="C11:D11"/>
    <mergeCell ref="E11:F11"/>
    <mergeCell ref="G11:H11"/>
    <mergeCell ref="I11:J11"/>
    <mergeCell ref="K11:L11"/>
    <mergeCell ref="M11:N11"/>
    <mergeCell ref="O11:P11"/>
    <mergeCell ref="S15:T15"/>
    <mergeCell ref="U15:V15"/>
    <mergeCell ref="W15:X15"/>
    <mergeCell ref="Y15:Z15"/>
    <mergeCell ref="AA15:AB15"/>
    <mergeCell ref="O39:P39"/>
    <mergeCell ref="Y13:Z13"/>
    <mergeCell ref="AA13:AB13"/>
    <mergeCell ref="C15:D15"/>
    <mergeCell ref="E15:F15"/>
    <mergeCell ref="G15:H15"/>
    <mergeCell ref="I15:J15"/>
    <mergeCell ref="K15:L15"/>
    <mergeCell ref="M15:N15"/>
    <mergeCell ref="O15:P15"/>
    <mergeCell ref="Q15:R15"/>
    <mergeCell ref="M13:N13"/>
    <mergeCell ref="O13:P13"/>
    <mergeCell ref="Q13:R13"/>
    <mergeCell ref="S13:T13"/>
    <mergeCell ref="U13:V13"/>
    <mergeCell ref="W13:X13"/>
    <mergeCell ref="Y40:Z40"/>
    <mergeCell ref="AA40:AB40"/>
    <mergeCell ref="M40:N40"/>
    <mergeCell ref="O40:P40"/>
    <mergeCell ref="Q40:R40"/>
    <mergeCell ref="S40:T40"/>
    <mergeCell ref="U40:V40"/>
    <mergeCell ref="W40:X40"/>
    <mergeCell ref="A40:B40"/>
    <mergeCell ref="C40:D40"/>
    <mergeCell ref="E40:F40"/>
    <mergeCell ref="G40:H40"/>
    <mergeCell ref="I40:J40"/>
    <mergeCell ref="K40:L40"/>
    <mergeCell ref="W41:X41"/>
    <mergeCell ref="Y41:Z41"/>
    <mergeCell ref="AA41:AB41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E44:F44"/>
    <mergeCell ref="G44:H44"/>
    <mergeCell ref="I44:J44"/>
    <mergeCell ref="K44:L44"/>
    <mergeCell ref="E45:F45"/>
    <mergeCell ref="G45:H45"/>
    <mergeCell ref="I45:J45"/>
    <mergeCell ref="K45:L45"/>
    <mergeCell ref="M44:N44"/>
    <mergeCell ref="K46:L46"/>
    <mergeCell ref="K47:L47"/>
    <mergeCell ref="M45:N45"/>
    <mergeCell ref="M46:N46"/>
    <mergeCell ref="E46:F46"/>
    <mergeCell ref="E47:F47"/>
    <mergeCell ref="E48:F48"/>
    <mergeCell ref="G48:H48"/>
    <mergeCell ref="G47:H47"/>
    <mergeCell ref="G46:H46"/>
    <mergeCell ref="I46:J46"/>
    <mergeCell ref="I47:J47"/>
    <mergeCell ref="I48:J48"/>
    <mergeCell ref="O46:P46"/>
    <mergeCell ref="O47:P47"/>
    <mergeCell ref="O48:P48"/>
    <mergeCell ref="Q45:R45"/>
    <mergeCell ref="Q46:R46"/>
    <mergeCell ref="Q47:R47"/>
    <mergeCell ref="Q48:R48"/>
    <mergeCell ref="S44:T44"/>
    <mergeCell ref="S45:T45"/>
    <mergeCell ref="S46:T46"/>
    <mergeCell ref="S47:T47"/>
    <mergeCell ref="S48:T48"/>
    <mergeCell ref="O44:P44"/>
    <mergeCell ref="Q44:R44"/>
    <mergeCell ref="O45:P45"/>
    <mergeCell ref="U48:V48"/>
    <mergeCell ref="W45:X45"/>
    <mergeCell ref="W46:X46"/>
    <mergeCell ref="W47:X47"/>
    <mergeCell ref="W48:X48"/>
    <mergeCell ref="Y43:Z43"/>
    <mergeCell ref="Y44:Z44"/>
    <mergeCell ref="Y45:Z45"/>
    <mergeCell ref="Y46:Z46"/>
    <mergeCell ref="Y47:Z47"/>
    <mergeCell ref="Y48:Z48"/>
    <mergeCell ref="W43:X43"/>
    <mergeCell ref="U44:V44"/>
    <mergeCell ref="W44:X44"/>
    <mergeCell ref="U45:V45"/>
    <mergeCell ref="A10:B10"/>
    <mergeCell ref="W49:X49"/>
    <mergeCell ref="Y49:Z49"/>
    <mergeCell ref="AA49:AB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AA43:AB43"/>
    <mergeCell ref="AA44:AB44"/>
    <mergeCell ref="AA45:AB45"/>
    <mergeCell ref="AA46:AB46"/>
    <mergeCell ref="AA47:AB47"/>
    <mergeCell ref="AA48:AB48"/>
    <mergeCell ref="K48:L48"/>
    <mergeCell ref="M47:N47"/>
    <mergeCell ref="M48:N48"/>
    <mergeCell ref="U46:V46"/>
    <mergeCell ref="U47:V47"/>
  </mergeCells>
  <phoneticPr fontId="2"/>
  <pageMargins left="0.23622047244094491" right="0.23622047244094491" top="0.74803149606299213" bottom="0.74803149606299213" header="0.31496062992125984" footer="0.31496062992125984"/>
  <pageSetup paperSize="8" scale="11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1CCD-7091-409A-AC32-4C69160AF396}">
  <sheetPr>
    <pageSetUpPr fitToPage="1"/>
  </sheetPr>
  <dimension ref="A1:BL86"/>
  <sheetViews>
    <sheetView topLeftCell="A33" zoomScaleNormal="100" workbookViewId="0">
      <selection activeCell="W15" sqref="W15"/>
    </sheetView>
  </sheetViews>
  <sheetFormatPr defaultRowHeight="18" x14ac:dyDescent="0.55000000000000004"/>
  <cols>
    <col min="1" max="1" width="5.58203125" customWidth="1"/>
    <col min="2" max="2" width="3.83203125" customWidth="1"/>
    <col min="3" max="5" width="5.08203125" hidden="1" customWidth="1"/>
    <col min="6" max="9" width="5.08203125" style="1" hidden="1" customWidth="1"/>
    <col min="10" max="14" width="5.08203125" hidden="1" customWidth="1"/>
    <col min="15" max="18" width="4.08203125" hidden="1" customWidth="1"/>
    <col min="19" max="63" width="4.58203125" customWidth="1"/>
    <col min="64" max="64" width="35.4140625" customWidth="1"/>
  </cols>
  <sheetData>
    <row r="1" spans="1:63" ht="12" customHeight="1" x14ac:dyDescent="0.55000000000000004">
      <c r="A1" s="95" t="s">
        <v>176</v>
      </c>
      <c r="B1" s="2"/>
      <c r="C1" s="2"/>
      <c r="D1" s="2"/>
      <c r="E1" s="2"/>
      <c r="F1" s="96"/>
      <c r="G1" s="96"/>
      <c r="H1" s="96"/>
      <c r="I1" s="96"/>
      <c r="J1" s="2"/>
      <c r="K1" s="2"/>
      <c r="L1" s="2"/>
      <c r="M1" s="2"/>
      <c r="N1" s="2"/>
      <c r="O1" s="2"/>
      <c r="P1" s="2"/>
    </row>
    <row r="2" spans="1:63" s="27" customFormat="1" ht="15" customHeight="1" x14ac:dyDescent="0.55000000000000004">
      <c r="A2" s="342"/>
      <c r="B2" s="342"/>
      <c r="C2" s="372" t="s">
        <v>4</v>
      </c>
      <c r="D2" s="373"/>
      <c r="E2" s="373"/>
      <c r="F2" s="374"/>
      <c r="G2" s="372" t="s">
        <v>5</v>
      </c>
      <c r="H2" s="373"/>
      <c r="I2" s="373"/>
      <c r="J2" s="374"/>
      <c r="K2" s="372" t="s">
        <v>6</v>
      </c>
      <c r="L2" s="373"/>
      <c r="M2" s="373"/>
      <c r="N2" s="374"/>
      <c r="O2" s="140"/>
      <c r="P2" s="140"/>
      <c r="Q2" s="372" t="s">
        <v>7</v>
      </c>
      <c r="R2" s="374"/>
      <c r="S2" s="180" t="s">
        <v>8</v>
      </c>
      <c r="T2" s="181"/>
      <c r="U2" s="181"/>
      <c r="V2" s="181"/>
      <c r="W2" s="181"/>
      <c r="X2" s="180" t="s">
        <v>10</v>
      </c>
      <c r="Y2" s="181"/>
      <c r="Z2" s="181"/>
      <c r="AA2" s="181"/>
      <c r="AB2" s="182"/>
      <c r="AC2" s="180" t="s">
        <v>11</v>
      </c>
      <c r="AD2" s="181"/>
      <c r="AE2" s="181"/>
      <c r="AF2" s="181"/>
      <c r="AG2" s="182"/>
      <c r="AH2" s="180" t="s">
        <v>12</v>
      </c>
      <c r="AI2" s="181"/>
      <c r="AJ2" s="181"/>
      <c r="AK2" s="181"/>
      <c r="AL2" s="182"/>
      <c r="AM2" s="180" t="s">
        <v>13</v>
      </c>
      <c r="AN2" s="181"/>
      <c r="AO2" s="181"/>
      <c r="AP2" s="181"/>
      <c r="AQ2" s="182"/>
      <c r="AR2" s="180" t="s">
        <v>14</v>
      </c>
      <c r="AS2" s="181"/>
      <c r="AT2" s="181"/>
      <c r="AU2" s="181"/>
      <c r="AV2" s="182"/>
      <c r="AW2" s="180" t="s">
        <v>15</v>
      </c>
      <c r="AX2" s="181"/>
      <c r="AY2" s="181"/>
      <c r="AZ2" s="181"/>
      <c r="BA2" s="182"/>
      <c r="BB2" s="180" t="s">
        <v>16</v>
      </c>
      <c r="BC2" s="181"/>
      <c r="BD2" s="181"/>
      <c r="BE2" s="181"/>
      <c r="BF2" s="182"/>
      <c r="BG2" s="183" t="s">
        <v>4</v>
      </c>
      <c r="BH2" s="183"/>
      <c r="BI2" s="183"/>
      <c r="BJ2" s="183"/>
      <c r="BK2" s="183"/>
    </row>
    <row r="3" spans="1:63" s="27" customFormat="1" ht="15" customHeight="1" thickBot="1" x14ac:dyDescent="0.6">
      <c r="A3" s="255" t="s">
        <v>153</v>
      </c>
      <c r="B3" s="255"/>
      <c r="C3" s="378">
        <v>25</v>
      </c>
      <c r="D3" s="379"/>
      <c r="E3" s="379"/>
      <c r="F3" s="380"/>
      <c r="G3" s="378"/>
      <c r="H3" s="379"/>
      <c r="I3" s="379"/>
      <c r="J3" s="380"/>
      <c r="K3" s="378"/>
      <c r="L3" s="379"/>
      <c r="M3" s="379"/>
      <c r="N3" s="380"/>
      <c r="O3" s="141"/>
      <c r="P3" s="141"/>
      <c r="Q3" s="378"/>
      <c r="R3" s="380"/>
      <c r="S3" s="362">
        <f>ROUND((受注推移2!E4*1.3),0)</f>
        <v>18</v>
      </c>
      <c r="T3" s="363"/>
      <c r="U3" s="363"/>
      <c r="V3" s="363"/>
      <c r="W3" s="364"/>
      <c r="X3" s="362">
        <f>ROUND((受注推移2!M4*1.3),0)</f>
        <v>20</v>
      </c>
      <c r="Y3" s="363"/>
      <c r="Z3" s="363"/>
      <c r="AA3" s="363"/>
      <c r="AB3" s="364"/>
      <c r="AC3" s="362">
        <f>ROUND((受注推移2!O4*1.3),0)</f>
        <v>20</v>
      </c>
      <c r="AD3" s="363"/>
      <c r="AE3" s="363"/>
      <c r="AF3" s="363"/>
      <c r="AG3" s="364"/>
      <c r="AH3" s="362">
        <f>ROUND((受注推移2!Q4*1.3),0)</f>
        <v>22</v>
      </c>
      <c r="AI3" s="363"/>
      <c r="AJ3" s="363"/>
      <c r="AK3" s="363"/>
      <c r="AL3" s="364"/>
      <c r="AM3" s="362">
        <f>ROUND((受注推移2!S4*1.3),0)</f>
        <v>23</v>
      </c>
      <c r="AN3" s="363"/>
      <c r="AO3" s="363"/>
      <c r="AP3" s="363"/>
      <c r="AQ3" s="364"/>
      <c r="AR3" s="362">
        <f>ROUND((受注推移2!U4*1.3),0)</f>
        <v>23</v>
      </c>
      <c r="AS3" s="363"/>
      <c r="AT3" s="363"/>
      <c r="AU3" s="363"/>
      <c r="AV3" s="364"/>
      <c r="AW3" s="362">
        <f>ROUND((受注推移2!W4*1.3),0)</f>
        <v>23</v>
      </c>
      <c r="AX3" s="363"/>
      <c r="AY3" s="363"/>
      <c r="AZ3" s="363"/>
      <c r="BA3" s="364"/>
      <c r="BB3" s="362">
        <f>ROUND((受注推移2!W4*1.3),0)</f>
        <v>23</v>
      </c>
      <c r="BC3" s="363"/>
      <c r="BD3" s="363"/>
      <c r="BE3" s="363"/>
      <c r="BF3" s="364"/>
      <c r="BG3" s="365">
        <f>ROUND((受注推移2!AA4*1.3),0)</f>
        <v>26</v>
      </c>
      <c r="BH3" s="365"/>
      <c r="BI3" s="365"/>
      <c r="BJ3" s="365"/>
      <c r="BK3" s="365"/>
    </row>
    <row r="4" spans="1:63" s="27" customFormat="1" ht="15" customHeight="1" thickBot="1" x14ac:dyDescent="0.6">
      <c r="A4" s="256" t="s">
        <v>393</v>
      </c>
      <c r="B4" s="257"/>
      <c r="C4" s="369" t="e">
        <f>#REF!</f>
        <v>#REF!</v>
      </c>
      <c r="D4" s="370"/>
      <c r="E4" s="370"/>
      <c r="F4" s="371"/>
      <c r="G4" s="369" t="e">
        <f>#REF!</f>
        <v>#REF!</v>
      </c>
      <c r="H4" s="370"/>
      <c r="I4" s="370"/>
      <c r="J4" s="371"/>
      <c r="K4" s="369" t="e">
        <f>#REF!</f>
        <v>#REF!</v>
      </c>
      <c r="L4" s="370"/>
      <c r="M4" s="370"/>
      <c r="N4" s="371"/>
      <c r="O4" s="142"/>
      <c r="P4" s="142"/>
      <c r="Q4" s="369" t="e">
        <f>#REF!</f>
        <v>#REF!</v>
      </c>
      <c r="R4" s="371"/>
      <c r="S4" s="185">
        <f>S81</f>
        <v>28</v>
      </c>
      <c r="T4" s="186"/>
      <c r="U4" s="186"/>
      <c r="V4" s="186"/>
      <c r="W4" s="186"/>
      <c r="X4" s="185">
        <f>X81</f>
        <v>29</v>
      </c>
      <c r="Y4" s="186"/>
      <c r="Z4" s="186"/>
      <c r="AA4" s="186"/>
      <c r="AB4" s="186"/>
      <c r="AC4" s="185">
        <f>AC81</f>
        <v>30</v>
      </c>
      <c r="AD4" s="186"/>
      <c r="AE4" s="186"/>
      <c r="AF4" s="186"/>
      <c r="AG4" s="186"/>
      <c r="AH4" s="185">
        <f>ROUND(AH81,0)</f>
        <v>29</v>
      </c>
      <c r="AI4" s="186"/>
      <c r="AJ4" s="186"/>
      <c r="AK4" s="186"/>
      <c r="AL4" s="186"/>
      <c r="AM4" s="185">
        <f>ROUND(AM81,0)</f>
        <v>28</v>
      </c>
      <c r="AN4" s="186"/>
      <c r="AO4" s="186"/>
      <c r="AP4" s="186"/>
      <c r="AQ4" s="186"/>
      <c r="AR4" s="185">
        <f>ROUND(AR81,0)</f>
        <v>28</v>
      </c>
      <c r="AS4" s="186"/>
      <c r="AT4" s="186"/>
      <c r="AU4" s="186"/>
      <c r="AV4" s="186"/>
      <c r="AW4" s="185">
        <f>ROUND(AW81,0)</f>
        <v>28</v>
      </c>
      <c r="AX4" s="186"/>
      <c r="AY4" s="186"/>
      <c r="AZ4" s="186"/>
      <c r="BA4" s="186"/>
      <c r="BB4" s="185">
        <f>ROUND(BB81,0)</f>
        <v>28</v>
      </c>
      <c r="BC4" s="186"/>
      <c r="BD4" s="186"/>
      <c r="BE4" s="186"/>
      <c r="BF4" s="186"/>
      <c r="BG4" s="185">
        <f>ROUND(BG81,0)</f>
        <v>28</v>
      </c>
      <c r="BH4" s="186"/>
      <c r="BI4" s="186"/>
      <c r="BJ4" s="186"/>
      <c r="BK4" s="207"/>
    </row>
    <row r="5" spans="1:63" s="27" customFormat="1" ht="15" customHeight="1" x14ac:dyDescent="0.55000000000000004">
      <c r="A5" s="258" t="s">
        <v>169</v>
      </c>
      <c r="B5" s="258"/>
      <c r="C5" s="366" t="e">
        <f>C4-C3</f>
        <v>#REF!</v>
      </c>
      <c r="D5" s="367"/>
      <c r="E5" s="367"/>
      <c r="F5" s="368"/>
      <c r="G5" s="366" t="e">
        <f>G4-G3</f>
        <v>#REF!</v>
      </c>
      <c r="H5" s="367"/>
      <c r="I5" s="367"/>
      <c r="J5" s="368"/>
      <c r="K5" s="366" t="e">
        <f>K4-K3</f>
        <v>#REF!</v>
      </c>
      <c r="L5" s="367"/>
      <c r="M5" s="367"/>
      <c r="N5" s="368"/>
      <c r="O5" s="143"/>
      <c r="P5" s="143"/>
      <c r="Q5" s="366" t="e">
        <f>Q4-Q3</f>
        <v>#REF!</v>
      </c>
      <c r="R5" s="368"/>
      <c r="S5" s="184">
        <f>S4-S3</f>
        <v>10</v>
      </c>
      <c r="T5" s="184"/>
      <c r="U5" s="184"/>
      <c r="V5" s="184"/>
      <c r="W5" s="184"/>
      <c r="X5" s="184">
        <f>X4-X3</f>
        <v>9</v>
      </c>
      <c r="Y5" s="184"/>
      <c r="Z5" s="184"/>
      <c r="AA5" s="184"/>
      <c r="AB5" s="184"/>
      <c r="AC5" s="184">
        <f>AC4-AC3</f>
        <v>10</v>
      </c>
      <c r="AD5" s="184"/>
      <c r="AE5" s="184"/>
      <c r="AF5" s="184"/>
      <c r="AG5" s="184"/>
      <c r="AH5" s="184">
        <f>AH4-AH3</f>
        <v>7</v>
      </c>
      <c r="AI5" s="184"/>
      <c r="AJ5" s="184"/>
      <c r="AK5" s="184"/>
      <c r="AL5" s="184"/>
      <c r="AM5" s="184">
        <f>AM4-AM3</f>
        <v>5</v>
      </c>
      <c r="AN5" s="184"/>
      <c r="AO5" s="184"/>
      <c r="AP5" s="184"/>
      <c r="AQ5" s="184"/>
      <c r="AR5" s="184">
        <f>AR4-AR3</f>
        <v>5</v>
      </c>
      <c r="AS5" s="184"/>
      <c r="AT5" s="184"/>
      <c r="AU5" s="184"/>
      <c r="AV5" s="184"/>
      <c r="AW5" s="184">
        <f>AW4-AW3</f>
        <v>5</v>
      </c>
      <c r="AX5" s="184"/>
      <c r="AY5" s="184"/>
      <c r="AZ5" s="184"/>
      <c r="BA5" s="184"/>
      <c r="BB5" s="184">
        <f>BB4-BB3</f>
        <v>5</v>
      </c>
      <c r="BC5" s="184"/>
      <c r="BD5" s="184"/>
      <c r="BE5" s="184"/>
      <c r="BF5" s="184"/>
      <c r="BG5" s="184">
        <f>BG4-BG3</f>
        <v>2</v>
      </c>
      <c r="BH5" s="184"/>
      <c r="BI5" s="184"/>
      <c r="BJ5" s="184"/>
      <c r="BK5" s="184"/>
    </row>
    <row r="6" spans="1:63" s="27" customFormat="1" ht="15" customHeight="1" x14ac:dyDescent="0.55000000000000004">
      <c r="A6" s="259" t="s">
        <v>388</v>
      </c>
      <c r="B6" s="259"/>
      <c r="C6" s="375" t="e">
        <f>#REF!</f>
        <v>#REF!</v>
      </c>
      <c r="D6" s="376"/>
      <c r="E6" s="376"/>
      <c r="F6" s="377"/>
      <c r="G6" s="381" t="e">
        <f>#REF!</f>
        <v>#REF!</v>
      </c>
      <c r="H6" s="382"/>
      <c r="I6" s="382"/>
      <c r="J6" s="383"/>
      <c r="K6" s="381" t="e">
        <f>#REF!</f>
        <v>#REF!</v>
      </c>
      <c r="L6" s="382"/>
      <c r="M6" s="382"/>
      <c r="N6" s="383"/>
      <c r="O6" s="144"/>
      <c r="P6" s="144"/>
      <c r="Q6" s="381" t="e">
        <f>#REF!</f>
        <v>#REF!</v>
      </c>
      <c r="R6" s="383"/>
      <c r="S6" s="187">
        <f>ROUND(U81,0)</f>
        <v>2490</v>
      </c>
      <c r="T6" s="188"/>
      <c r="U6" s="188"/>
      <c r="V6" s="188"/>
      <c r="W6" s="188"/>
      <c r="X6" s="187">
        <f>ROUND(Z81,0)</f>
        <v>2633</v>
      </c>
      <c r="Y6" s="188"/>
      <c r="Z6" s="188"/>
      <c r="AA6" s="188"/>
      <c r="AB6" s="188"/>
      <c r="AC6" s="187">
        <f>ROUND(AE81,0)</f>
        <v>2876</v>
      </c>
      <c r="AD6" s="188"/>
      <c r="AE6" s="188"/>
      <c r="AF6" s="188"/>
      <c r="AG6" s="188"/>
      <c r="AH6" s="187">
        <f>ROUND(AJ81,0)</f>
        <v>2973</v>
      </c>
      <c r="AI6" s="188"/>
      <c r="AJ6" s="188"/>
      <c r="AK6" s="188"/>
      <c r="AL6" s="188"/>
      <c r="AM6" s="187">
        <f>ROUND(AO81,0)</f>
        <v>3028</v>
      </c>
      <c r="AN6" s="188"/>
      <c r="AO6" s="188"/>
      <c r="AP6" s="188"/>
      <c r="AQ6" s="188"/>
      <c r="AR6" s="187">
        <f>ROUND(AT81,0)</f>
        <v>3148</v>
      </c>
      <c r="AS6" s="188"/>
      <c r="AT6" s="188"/>
      <c r="AU6" s="188"/>
      <c r="AV6" s="188"/>
      <c r="AW6" s="187">
        <f>ROUND(AY81,0)</f>
        <v>3436</v>
      </c>
      <c r="AX6" s="188"/>
      <c r="AY6" s="188"/>
      <c r="AZ6" s="188"/>
      <c r="BA6" s="188"/>
      <c r="BB6" s="187">
        <f>ROUND(BD81,0)</f>
        <v>3591</v>
      </c>
      <c r="BC6" s="188"/>
      <c r="BD6" s="188"/>
      <c r="BE6" s="188"/>
      <c r="BF6" s="188"/>
      <c r="BG6" s="187">
        <f>ROUND(BI81,0)</f>
        <v>3567</v>
      </c>
      <c r="BH6" s="188"/>
      <c r="BI6" s="188"/>
      <c r="BJ6" s="188"/>
      <c r="BK6" s="208"/>
    </row>
    <row r="7" spans="1:63" ht="14.5" customHeight="1" x14ac:dyDescent="0.55000000000000004">
      <c r="C7" s="58" t="s">
        <v>207</v>
      </c>
      <c r="D7" s="58"/>
      <c r="E7" s="58"/>
      <c r="S7" s="88" t="s">
        <v>203</v>
      </c>
      <c r="T7" s="58"/>
      <c r="U7" s="58"/>
      <c r="V7" s="58"/>
      <c r="W7" s="58"/>
    </row>
    <row r="8" spans="1:63" ht="10" customHeight="1" x14ac:dyDescent="0.55000000000000004">
      <c r="C8" s="26" t="s">
        <v>174</v>
      </c>
      <c r="D8" s="26"/>
      <c r="E8" s="26"/>
    </row>
    <row r="9" spans="1:63" ht="10" customHeight="1" x14ac:dyDescent="0.55000000000000004">
      <c r="A9" s="348" t="s">
        <v>402</v>
      </c>
      <c r="B9" s="349"/>
      <c r="C9" s="253" t="s">
        <v>4</v>
      </c>
      <c r="D9" s="279"/>
      <c r="E9" s="279"/>
      <c r="F9" s="260"/>
      <c r="G9" s="361" t="s">
        <v>5</v>
      </c>
      <c r="H9" s="286"/>
      <c r="I9" s="286"/>
      <c r="J9" s="287"/>
      <c r="K9" s="361" t="s">
        <v>6</v>
      </c>
      <c r="L9" s="286"/>
      <c r="M9" s="286"/>
      <c r="N9" s="287"/>
      <c r="O9" s="103"/>
      <c r="P9" s="103"/>
      <c r="Q9" s="361" t="s">
        <v>7</v>
      </c>
      <c r="R9" s="287"/>
      <c r="S9" s="352" t="s">
        <v>8</v>
      </c>
      <c r="T9" s="353"/>
      <c r="U9" s="353"/>
      <c r="V9" s="353"/>
      <c r="W9" s="353"/>
      <c r="X9" s="352" t="s">
        <v>10</v>
      </c>
      <c r="Y9" s="353"/>
      <c r="Z9" s="353"/>
      <c r="AA9" s="353"/>
      <c r="AB9" s="354"/>
      <c r="AC9" s="352" t="s">
        <v>11</v>
      </c>
      <c r="AD9" s="353"/>
      <c r="AE9" s="353"/>
      <c r="AF9" s="353"/>
      <c r="AG9" s="354"/>
      <c r="AH9" s="352" t="s">
        <v>12</v>
      </c>
      <c r="AI9" s="353"/>
      <c r="AJ9" s="353"/>
      <c r="AK9" s="353"/>
      <c r="AL9" s="354"/>
      <c r="AM9" s="352" t="s">
        <v>13</v>
      </c>
      <c r="AN9" s="353"/>
      <c r="AO9" s="353"/>
      <c r="AP9" s="353"/>
      <c r="AQ9" s="354"/>
      <c r="AR9" s="352" t="s">
        <v>14</v>
      </c>
      <c r="AS9" s="353"/>
      <c r="AT9" s="353"/>
      <c r="AU9" s="353"/>
      <c r="AV9" s="354"/>
      <c r="AW9" s="352" t="s">
        <v>15</v>
      </c>
      <c r="AX9" s="353"/>
      <c r="AY9" s="353"/>
      <c r="AZ9" s="353"/>
      <c r="BA9" s="354"/>
      <c r="BB9" s="352" t="s">
        <v>16</v>
      </c>
      <c r="BC9" s="353"/>
      <c r="BD9" s="353"/>
      <c r="BE9" s="353"/>
      <c r="BF9" s="354"/>
      <c r="BG9" s="352" t="s">
        <v>4</v>
      </c>
      <c r="BH9" s="353"/>
      <c r="BI9" s="353"/>
      <c r="BJ9" s="353"/>
      <c r="BK9" s="354"/>
    </row>
    <row r="10" spans="1:63" ht="10" customHeight="1" x14ac:dyDescent="0.55000000000000004">
      <c r="A10" s="348"/>
      <c r="B10" s="349"/>
      <c r="C10" s="106" t="s">
        <v>361</v>
      </c>
      <c r="D10" s="106" t="s">
        <v>362</v>
      </c>
      <c r="E10" s="106" t="s">
        <v>343</v>
      </c>
      <c r="F10" s="106" t="s">
        <v>342</v>
      </c>
      <c r="G10" s="106" t="s">
        <v>361</v>
      </c>
      <c r="H10" s="106" t="s">
        <v>362</v>
      </c>
      <c r="I10" s="106" t="s">
        <v>343</v>
      </c>
      <c r="J10" s="106" t="s">
        <v>342</v>
      </c>
      <c r="K10" s="106" t="s">
        <v>361</v>
      </c>
      <c r="L10" s="106" t="s">
        <v>362</v>
      </c>
      <c r="M10" s="106" t="s">
        <v>343</v>
      </c>
      <c r="N10" s="106" t="s">
        <v>342</v>
      </c>
      <c r="O10" s="106" t="s">
        <v>361</v>
      </c>
      <c r="P10" s="106" t="s">
        <v>362</v>
      </c>
      <c r="Q10" s="106" t="s">
        <v>343</v>
      </c>
      <c r="R10" s="106" t="s">
        <v>342</v>
      </c>
      <c r="S10" s="156" t="s">
        <v>361</v>
      </c>
      <c r="T10" s="156" t="s">
        <v>373</v>
      </c>
      <c r="U10" s="156" t="s">
        <v>374</v>
      </c>
      <c r="V10" s="156" t="s">
        <v>343</v>
      </c>
      <c r="W10" s="156" t="s">
        <v>342</v>
      </c>
      <c r="X10" s="156" t="s">
        <v>361</v>
      </c>
      <c r="Y10" s="156" t="s">
        <v>362</v>
      </c>
      <c r="Z10" s="156" t="s">
        <v>374</v>
      </c>
      <c r="AA10" s="156" t="s">
        <v>343</v>
      </c>
      <c r="AB10" s="156" t="s">
        <v>342</v>
      </c>
      <c r="AC10" s="156" t="s">
        <v>361</v>
      </c>
      <c r="AD10" s="156" t="s">
        <v>362</v>
      </c>
      <c r="AE10" s="156" t="s">
        <v>374</v>
      </c>
      <c r="AF10" s="156" t="s">
        <v>343</v>
      </c>
      <c r="AG10" s="156" t="s">
        <v>342</v>
      </c>
      <c r="AH10" s="156" t="s">
        <v>361</v>
      </c>
      <c r="AI10" s="156" t="s">
        <v>362</v>
      </c>
      <c r="AJ10" s="156" t="s">
        <v>374</v>
      </c>
      <c r="AK10" s="156" t="s">
        <v>343</v>
      </c>
      <c r="AL10" s="156" t="s">
        <v>342</v>
      </c>
      <c r="AM10" s="156" t="s">
        <v>361</v>
      </c>
      <c r="AN10" s="156" t="s">
        <v>362</v>
      </c>
      <c r="AO10" s="156" t="s">
        <v>374</v>
      </c>
      <c r="AP10" s="156" t="s">
        <v>343</v>
      </c>
      <c r="AQ10" s="156" t="s">
        <v>342</v>
      </c>
      <c r="AR10" s="156" t="s">
        <v>361</v>
      </c>
      <c r="AS10" s="156" t="s">
        <v>362</v>
      </c>
      <c r="AT10" s="156" t="s">
        <v>374</v>
      </c>
      <c r="AU10" s="156" t="s">
        <v>343</v>
      </c>
      <c r="AV10" s="156" t="s">
        <v>342</v>
      </c>
      <c r="AW10" s="156" t="s">
        <v>361</v>
      </c>
      <c r="AX10" s="156" t="s">
        <v>362</v>
      </c>
      <c r="AY10" s="156" t="s">
        <v>374</v>
      </c>
      <c r="AZ10" s="156" t="s">
        <v>343</v>
      </c>
      <c r="BA10" s="156" t="s">
        <v>342</v>
      </c>
      <c r="BB10" s="156" t="s">
        <v>361</v>
      </c>
      <c r="BC10" s="156" t="s">
        <v>362</v>
      </c>
      <c r="BD10" s="156" t="s">
        <v>374</v>
      </c>
      <c r="BE10" s="156" t="s">
        <v>343</v>
      </c>
      <c r="BF10" s="156" t="s">
        <v>342</v>
      </c>
      <c r="BG10" s="156" t="s">
        <v>361</v>
      </c>
      <c r="BH10" s="156" t="s">
        <v>362</v>
      </c>
      <c r="BI10" s="156" t="s">
        <v>374</v>
      </c>
      <c r="BJ10" s="156" t="s">
        <v>343</v>
      </c>
      <c r="BK10" s="156" t="s">
        <v>342</v>
      </c>
    </row>
    <row r="11" spans="1:63" ht="10" customHeight="1" x14ac:dyDescent="0.55000000000000004">
      <c r="A11" s="88"/>
      <c r="B11" s="351" t="s">
        <v>346</v>
      </c>
      <c r="C11" s="73" t="s">
        <v>178</v>
      </c>
      <c r="D11" s="89" t="s">
        <v>348</v>
      </c>
      <c r="E11" s="89"/>
      <c r="F11" s="98">
        <v>0.95</v>
      </c>
      <c r="G11" s="73" t="s">
        <v>178</v>
      </c>
      <c r="H11" s="89" t="s">
        <v>348</v>
      </c>
      <c r="I11" s="89"/>
      <c r="J11" s="98">
        <v>0.95</v>
      </c>
      <c r="K11" s="73" t="s">
        <v>178</v>
      </c>
      <c r="L11" s="89" t="s">
        <v>348</v>
      </c>
      <c r="M11" s="89"/>
      <c r="N11" s="98">
        <v>0.95</v>
      </c>
      <c r="O11" s="73" t="s">
        <v>178</v>
      </c>
      <c r="P11" s="89" t="s">
        <v>348</v>
      </c>
      <c r="Q11" s="89"/>
      <c r="R11" s="98">
        <v>0.95</v>
      </c>
      <c r="S11" s="73" t="s">
        <v>178</v>
      </c>
      <c r="T11" s="112">
        <v>200</v>
      </c>
      <c r="U11" s="112">
        <f>ROUND(T11*W11,0)</f>
        <v>190</v>
      </c>
      <c r="V11" s="115">
        <v>53</v>
      </c>
      <c r="W11" s="98">
        <v>0.95</v>
      </c>
      <c r="X11" s="73" t="s">
        <v>178</v>
      </c>
      <c r="Y11" s="112">
        <v>200</v>
      </c>
      <c r="Z11" s="112">
        <f>Y11*AB11</f>
        <v>190</v>
      </c>
      <c r="AA11" s="115">
        <v>53</v>
      </c>
      <c r="AB11" s="98">
        <v>0.95</v>
      </c>
      <c r="AC11" s="73" t="s">
        <v>178</v>
      </c>
      <c r="AD11" s="112">
        <v>200</v>
      </c>
      <c r="AE11" s="112">
        <f t="shared" ref="AE11:AE24" si="0">ROUND(AD11*AG11,0)</f>
        <v>190</v>
      </c>
      <c r="AF11" s="115">
        <v>40</v>
      </c>
      <c r="AG11" s="98">
        <v>0.95</v>
      </c>
      <c r="AH11" s="73" t="s">
        <v>178</v>
      </c>
      <c r="AI11" s="112">
        <v>200</v>
      </c>
      <c r="AJ11" s="112">
        <f t="shared" ref="AJ11:AJ24" si="1">ROUND(AI11*AL11,0)</f>
        <v>190</v>
      </c>
      <c r="AK11" s="115">
        <v>40</v>
      </c>
      <c r="AL11" s="98">
        <v>0.95</v>
      </c>
      <c r="AM11" s="73" t="s">
        <v>178</v>
      </c>
      <c r="AN11" s="112">
        <v>200</v>
      </c>
      <c r="AO11" s="112">
        <f>ROUND(AN11*AQ11,0)</f>
        <v>190</v>
      </c>
      <c r="AP11" s="115">
        <v>40</v>
      </c>
      <c r="AQ11" s="98">
        <v>0.95</v>
      </c>
      <c r="AR11" s="73" t="s">
        <v>178</v>
      </c>
      <c r="AS11" s="112">
        <v>200</v>
      </c>
      <c r="AT11" s="112">
        <f>ROUND(AS11*AV11,0)</f>
        <v>190</v>
      </c>
      <c r="AU11" s="115">
        <v>40</v>
      </c>
      <c r="AV11" s="98">
        <v>0.95</v>
      </c>
      <c r="AW11" s="73" t="s">
        <v>178</v>
      </c>
      <c r="AX11" s="112">
        <v>200</v>
      </c>
      <c r="AY11" s="112">
        <f>AX11*BA11</f>
        <v>190</v>
      </c>
      <c r="AZ11" s="115">
        <v>40</v>
      </c>
      <c r="BA11" s="98">
        <v>0.95</v>
      </c>
      <c r="BB11" s="73" t="s">
        <v>178</v>
      </c>
      <c r="BC11" s="112">
        <v>200</v>
      </c>
      <c r="BD11" s="112">
        <f>BC11*BF11</f>
        <v>190</v>
      </c>
      <c r="BE11" s="115">
        <v>40</v>
      </c>
      <c r="BF11" s="98">
        <v>0.95</v>
      </c>
      <c r="BG11" s="73" t="s">
        <v>178</v>
      </c>
      <c r="BH11" s="112">
        <v>200</v>
      </c>
      <c r="BI11" s="112">
        <f>BH11*BK11</f>
        <v>190</v>
      </c>
      <c r="BJ11" s="115">
        <v>40</v>
      </c>
      <c r="BK11" s="98">
        <v>0.95</v>
      </c>
    </row>
    <row r="12" spans="1:63" ht="10" customHeight="1" x14ac:dyDescent="0.55000000000000004">
      <c r="B12" s="351"/>
      <c r="C12" s="49" t="s">
        <v>180</v>
      </c>
      <c r="D12" s="50" t="s">
        <v>349</v>
      </c>
      <c r="E12" s="49"/>
      <c r="F12" s="97">
        <v>0.75</v>
      </c>
      <c r="G12" s="49" t="s">
        <v>180</v>
      </c>
      <c r="H12" s="50" t="s">
        <v>349</v>
      </c>
      <c r="I12" s="49"/>
      <c r="J12" s="97">
        <v>0.75</v>
      </c>
      <c r="K12" s="49" t="s">
        <v>180</v>
      </c>
      <c r="L12" s="50" t="s">
        <v>349</v>
      </c>
      <c r="M12" s="49"/>
      <c r="N12" s="97">
        <v>0.75</v>
      </c>
      <c r="O12" s="49" t="s">
        <v>180</v>
      </c>
      <c r="P12" s="50" t="s">
        <v>349</v>
      </c>
      <c r="Q12" s="49"/>
      <c r="R12" s="97">
        <v>0.75</v>
      </c>
      <c r="S12" s="49" t="s">
        <v>180</v>
      </c>
      <c r="T12" s="113">
        <v>165</v>
      </c>
      <c r="U12" s="114">
        <f>ROUND(T12*W12,0)</f>
        <v>124</v>
      </c>
      <c r="V12" s="119">
        <v>45</v>
      </c>
      <c r="W12" s="99">
        <v>0.75</v>
      </c>
      <c r="X12" s="107" t="s">
        <v>180</v>
      </c>
      <c r="Y12" s="114">
        <v>165</v>
      </c>
      <c r="Z12" s="114">
        <f>Y12*AB12</f>
        <v>123.75</v>
      </c>
      <c r="AA12" s="119">
        <v>45</v>
      </c>
      <c r="AB12" s="99">
        <v>0.75</v>
      </c>
      <c r="AC12" s="107" t="s">
        <v>180</v>
      </c>
      <c r="AD12" s="114">
        <v>165</v>
      </c>
      <c r="AE12" s="114">
        <f t="shared" si="0"/>
        <v>124</v>
      </c>
      <c r="AF12" s="119">
        <v>45</v>
      </c>
      <c r="AG12" s="99">
        <v>0.75</v>
      </c>
      <c r="AH12" s="107" t="s">
        <v>180</v>
      </c>
      <c r="AI12" s="114">
        <v>165</v>
      </c>
      <c r="AJ12" s="114">
        <f t="shared" si="1"/>
        <v>132</v>
      </c>
      <c r="AK12" s="119">
        <v>45</v>
      </c>
      <c r="AL12" s="99">
        <v>0.8</v>
      </c>
      <c r="AM12" s="107" t="s">
        <v>180</v>
      </c>
      <c r="AN12" s="114">
        <v>165</v>
      </c>
      <c r="AO12" s="114">
        <f t="shared" ref="AO12:AO29" si="2">ROUND(AN12*AQ12,0)</f>
        <v>132</v>
      </c>
      <c r="AP12" s="119">
        <v>45</v>
      </c>
      <c r="AQ12" s="99">
        <v>0.8</v>
      </c>
      <c r="AR12" s="107" t="s">
        <v>180</v>
      </c>
      <c r="AS12" s="114">
        <v>165</v>
      </c>
      <c r="AT12" s="114">
        <f t="shared" ref="AT12:AT29" si="3">ROUND(AS12*AV12,0)</f>
        <v>132</v>
      </c>
      <c r="AU12" s="119">
        <v>45</v>
      </c>
      <c r="AV12" s="99">
        <v>0.8</v>
      </c>
      <c r="AW12" s="107" t="s">
        <v>180</v>
      </c>
      <c r="AX12" s="114">
        <v>165</v>
      </c>
      <c r="AY12" s="114">
        <f>AX12*BA12</f>
        <v>140.25</v>
      </c>
      <c r="AZ12" s="119">
        <v>45</v>
      </c>
      <c r="BA12" s="99">
        <v>0.85</v>
      </c>
      <c r="BB12" s="107" t="s">
        <v>180</v>
      </c>
      <c r="BC12" s="114">
        <v>165</v>
      </c>
      <c r="BD12" s="114">
        <f>BC12*BF12</f>
        <v>140.25</v>
      </c>
      <c r="BE12" s="119">
        <v>45</v>
      </c>
      <c r="BF12" s="99">
        <v>0.85</v>
      </c>
      <c r="BG12" s="107" t="s">
        <v>180</v>
      </c>
      <c r="BH12" s="114">
        <v>165</v>
      </c>
      <c r="BI12" s="114">
        <f>BH12*BK12</f>
        <v>140.25</v>
      </c>
      <c r="BJ12" s="119">
        <v>45</v>
      </c>
      <c r="BK12" s="99">
        <v>0.85</v>
      </c>
    </row>
    <row r="13" spans="1:63" ht="10" customHeight="1" x14ac:dyDescent="0.55000000000000004">
      <c r="B13" s="351"/>
      <c r="C13" s="59" t="s">
        <v>351</v>
      </c>
      <c r="D13" s="100" t="s">
        <v>352</v>
      </c>
      <c r="E13" s="59"/>
      <c r="F13" s="99">
        <v>0.2</v>
      </c>
      <c r="G13" s="59" t="s">
        <v>351</v>
      </c>
      <c r="H13" s="100" t="s">
        <v>352</v>
      </c>
      <c r="I13" s="59"/>
      <c r="J13" s="99">
        <v>0.2</v>
      </c>
      <c r="K13" s="59" t="s">
        <v>351</v>
      </c>
      <c r="L13" s="100" t="s">
        <v>352</v>
      </c>
      <c r="M13" s="59"/>
      <c r="N13" s="99">
        <v>0.2</v>
      </c>
      <c r="O13" s="59" t="s">
        <v>351</v>
      </c>
      <c r="P13" s="100" t="s">
        <v>352</v>
      </c>
      <c r="Q13" s="59"/>
      <c r="R13" s="99">
        <v>0.2</v>
      </c>
      <c r="S13" s="73" t="s">
        <v>351</v>
      </c>
      <c r="T13" s="112">
        <v>100</v>
      </c>
      <c r="U13" s="112">
        <f t="shared" ref="U13:U29" si="4">ROUND(T13*W13,0)</f>
        <v>20</v>
      </c>
      <c r="V13" s="116">
        <v>20</v>
      </c>
      <c r="W13" s="98">
        <v>0.2</v>
      </c>
      <c r="X13" s="73" t="s">
        <v>351</v>
      </c>
      <c r="Y13" s="112">
        <v>100</v>
      </c>
      <c r="Z13" s="112">
        <f t="shared" ref="Z13:Z29" si="5">Y13*AB13</f>
        <v>25</v>
      </c>
      <c r="AA13" s="116">
        <v>20</v>
      </c>
      <c r="AB13" s="98">
        <v>0.25</v>
      </c>
      <c r="AC13" s="73" t="s">
        <v>351</v>
      </c>
      <c r="AD13" s="112">
        <v>100</v>
      </c>
      <c r="AE13" s="112">
        <f t="shared" si="0"/>
        <v>30</v>
      </c>
      <c r="AF13" s="116">
        <v>20</v>
      </c>
      <c r="AG13" s="98">
        <v>0.3</v>
      </c>
      <c r="AH13" s="73" t="s">
        <v>351</v>
      </c>
      <c r="AI13" s="112">
        <v>100</v>
      </c>
      <c r="AJ13" s="112">
        <f t="shared" si="1"/>
        <v>35</v>
      </c>
      <c r="AK13" s="116">
        <v>20</v>
      </c>
      <c r="AL13" s="98">
        <v>0.35</v>
      </c>
      <c r="AM13" s="73" t="s">
        <v>351</v>
      </c>
      <c r="AN13" s="112">
        <v>100</v>
      </c>
      <c r="AO13" s="112">
        <f t="shared" si="2"/>
        <v>40</v>
      </c>
      <c r="AP13" s="116">
        <v>25</v>
      </c>
      <c r="AQ13" s="98">
        <v>0.4</v>
      </c>
      <c r="AR13" s="73" t="s">
        <v>351</v>
      </c>
      <c r="AS13" s="112">
        <v>100</v>
      </c>
      <c r="AT13" s="112">
        <f t="shared" si="3"/>
        <v>45</v>
      </c>
      <c r="AU13" s="116">
        <v>30</v>
      </c>
      <c r="AV13" s="98">
        <v>0.45</v>
      </c>
      <c r="AW13" s="73" t="s">
        <v>351</v>
      </c>
      <c r="AX13" s="112">
        <v>100</v>
      </c>
      <c r="AY13" s="112">
        <f t="shared" ref="AY13:AY29" si="6">AX13*BA13</f>
        <v>55.000000000000007</v>
      </c>
      <c r="AZ13" s="116">
        <v>35</v>
      </c>
      <c r="BA13" s="98">
        <v>0.55000000000000004</v>
      </c>
      <c r="BB13" s="73" t="s">
        <v>351</v>
      </c>
      <c r="BC13" s="112">
        <v>100</v>
      </c>
      <c r="BD13" s="112">
        <f t="shared" ref="BD13:BD29" si="7">BC13*BF13</f>
        <v>60</v>
      </c>
      <c r="BE13" s="116">
        <v>40</v>
      </c>
      <c r="BF13" s="98">
        <v>0.6</v>
      </c>
      <c r="BG13" s="73" t="s">
        <v>351</v>
      </c>
      <c r="BH13" s="112">
        <v>100</v>
      </c>
      <c r="BI13" s="112">
        <f t="shared" ref="BI13:BI29" si="8">BH13*BK13</f>
        <v>65</v>
      </c>
      <c r="BJ13" s="116">
        <v>45</v>
      </c>
      <c r="BK13" s="98">
        <v>0.65</v>
      </c>
    </row>
    <row r="14" spans="1:63" ht="10" customHeight="1" x14ac:dyDescent="0.55000000000000004">
      <c r="B14" s="193" t="s">
        <v>347</v>
      </c>
      <c r="C14" s="73" t="s">
        <v>345</v>
      </c>
      <c r="D14" s="89" t="s">
        <v>350</v>
      </c>
      <c r="E14" s="73"/>
      <c r="F14" s="98">
        <v>1</v>
      </c>
      <c r="G14" s="73" t="s">
        <v>345</v>
      </c>
      <c r="H14" s="89" t="s">
        <v>350</v>
      </c>
      <c r="I14" s="73"/>
      <c r="J14" s="98">
        <v>1</v>
      </c>
      <c r="K14" s="73" t="s">
        <v>345</v>
      </c>
      <c r="L14" s="89" t="s">
        <v>350</v>
      </c>
      <c r="M14" s="73"/>
      <c r="N14" s="98">
        <v>1</v>
      </c>
      <c r="O14" s="73" t="s">
        <v>345</v>
      </c>
      <c r="P14" s="89" t="s">
        <v>350</v>
      </c>
      <c r="Q14" s="73"/>
      <c r="R14" s="98">
        <v>1</v>
      </c>
      <c r="S14" s="59" t="s">
        <v>345</v>
      </c>
      <c r="T14" s="114">
        <v>130</v>
      </c>
      <c r="U14" s="114">
        <f t="shared" si="4"/>
        <v>130</v>
      </c>
      <c r="V14" s="117">
        <v>29</v>
      </c>
      <c r="W14" s="99">
        <v>1</v>
      </c>
      <c r="X14" s="59" t="s">
        <v>345</v>
      </c>
      <c r="Y14" s="114">
        <v>130</v>
      </c>
      <c r="Z14" s="114">
        <f t="shared" si="5"/>
        <v>130</v>
      </c>
      <c r="AA14" s="117">
        <v>29</v>
      </c>
      <c r="AB14" s="99">
        <v>1</v>
      </c>
      <c r="AC14" s="59" t="s">
        <v>345</v>
      </c>
      <c r="AD14" s="114">
        <v>130</v>
      </c>
      <c r="AE14" s="114">
        <f t="shared" si="0"/>
        <v>130</v>
      </c>
      <c r="AF14" s="117">
        <v>29</v>
      </c>
      <c r="AG14" s="99">
        <v>1</v>
      </c>
      <c r="AH14" s="59" t="s">
        <v>345</v>
      </c>
      <c r="AI14" s="114">
        <v>130</v>
      </c>
      <c r="AJ14" s="114">
        <f t="shared" si="1"/>
        <v>130</v>
      </c>
      <c r="AK14" s="117">
        <v>29</v>
      </c>
      <c r="AL14" s="99">
        <v>1</v>
      </c>
      <c r="AM14" s="59" t="s">
        <v>345</v>
      </c>
      <c r="AN14" s="114">
        <v>130</v>
      </c>
      <c r="AO14" s="114">
        <f t="shared" si="2"/>
        <v>130</v>
      </c>
      <c r="AP14" s="117">
        <v>29</v>
      </c>
      <c r="AQ14" s="99">
        <v>1</v>
      </c>
      <c r="AR14" s="59" t="s">
        <v>345</v>
      </c>
      <c r="AS14" s="114">
        <v>130</v>
      </c>
      <c r="AT14" s="114">
        <f t="shared" si="3"/>
        <v>130</v>
      </c>
      <c r="AU14" s="117">
        <v>29</v>
      </c>
      <c r="AV14" s="99">
        <v>1</v>
      </c>
      <c r="AW14" s="59" t="s">
        <v>345</v>
      </c>
      <c r="AX14" s="114">
        <v>130</v>
      </c>
      <c r="AY14" s="114">
        <f t="shared" si="6"/>
        <v>130</v>
      </c>
      <c r="AZ14" s="117">
        <v>29</v>
      </c>
      <c r="BA14" s="99">
        <v>1</v>
      </c>
      <c r="BB14" s="59" t="s">
        <v>345</v>
      </c>
      <c r="BC14" s="114">
        <v>130</v>
      </c>
      <c r="BD14" s="114">
        <f t="shared" si="7"/>
        <v>130</v>
      </c>
      <c r="BE14" s="117">
        <v>29</v>
      </c>
      <c r="BF14" s="99">
        <v>1</v>
      </c>
      <c r="BG14" s="59" t="s">
        <v>345</v>
      </c>
      <c r="BH14" s="114">
        <v>130</v>
      </c>
      <c r="BI14" s="114">
        <f t="shared" si="8"/>
        <v>130</v>
      </c>
      <c r="BJ14" s="117">
        <v>29</v>
      </c>
      <c r="BK14" s="99">
        <v>1</v>
      </c>
    </row>
    <row r="15" spans="1:63" ht="10" customHeight="1" x14ac:dyDescent="0.55000000000000004">
      <c r="B15" s="350" t="s">
        <v>354</v>
      </c>
      <c r="C15" s="45" t="s">
        <v>187</v>
      </c>
      <c r="D15" s="50" t="s">
        <v>352</v>
      </c>
      <c r="E15" s="45"/>
      <c r="F15" s="97">
        <v>0.95</v>
      </c>
      <c r="G15" s="45" t="s">
        <v>187</v>
      </c>
      <c r="H15" s="50" t="s">
        <v>352</v>
      </c>
      <c r="I15" s="45"/>
      <c r="J15" s="97">
        <v>0.95</v>
      </c>
      <c r="K15" s="45" t="s">
        <v>187</v>
      </c>
      <c r="L15" s="50" t="s">
        <v>352</v>
      </c>
      <c r="M15" s="45"/>
      <c r="N15" s="97">
        <v>0.95</v>
      </c>
      <c r="O15" s="45" t="s">
        <v>187</v>
      </c>
      <c r="P15" s="50" t="s">
        <v>352</v>
      </c>
      <c r="Q15" s="45"/>
      <c r="R15" s="97">
        <v>0.95</v>
      </c>
      <c r="S15" s="73" t="s">
        <v>187</v>
      </c>
      <c r="T15" s="112">
        <v>100</v>
      </c>
      <c r="U15" s="112">
        <f t="shared" si="4"/>
        <v>95</v>
      </c>
      <c r="V15" s="116">
        <v>40</v>
      </c>
      <c r="W15" s="98">
        <v>0.95</v>
      </c>
      <c r="X15" s="73" t="s">
        <v>187</v>
      </c>
      <c r="Y15" s="112">
        <v>100</v>
      </c>
      <c r="Z15" s="112">
        <f t="shared" si="5"/>
        <v>95</v>
      </c>
      <c r="AA15" s="116">
        <v>40</v>
      </c>
      <c r="AB15" s="98">
        <v>0.95</v>
      </c>
      <c r="AC15" s="73" t="s">
        <v>187</v>
      </c>
      <c r="AD15" s="112">
        <v>100</v>
      </c>
      <c r="AE15" s="112">
        <f t="shared" si="0"/>
        <v>95</v>
      </c>
      <c r="AF15" s="116">
        <v>30</v>
      </c>
      <c r="AG15" s="98">
        <v>0.95</v>
      </c>
      <c r="AH15" s="73" t="s">
        <v>187</v>
      </c>
      <c r="AI15" s="112">
        <v>100</v>
      </c>
      <c r="AJ15" s="112">
        <f t="shared" si="1"/>
        <v>95</v>
      </c>
      <c r="AK15" s="116">
        <v>25</v>
      </c>
      <c r="AL15" s="98">
        <v>0.95</v>
      </c>
      <c r="AM15" s="73" t="s">
        <v>187</v>
      </c>
      <c r="AN15" s="112">
        <v>100</v>
      </c>
      <c r="AO15" s="112">
        <f t="shared" si="2"/>
        <v>95</v>
      </c>
      <c r="AP15" s="116">
        <v>20</v>
      </c>
      <c r="AQ15" s="98">
        <v>0.95</v>
      </c>
      <c r="AR15" s="73" t="s">
        <v>187</v>
      </c>
      <c r="AS15" s="112">
        <v>100</v>
      </c>
      <c r="AT15" s="112">
        <f t="shared" si="3"/>
        <v>95</v>
      </c>
      <c r="AU15" s="116">
        <v>20</v>
      </c>
      <c r="AV15" s="98">
        <v>0.95</v>
      </c>
      <c r="AW15" s="73" t="s">
        <v>187</v>
      </c>
      <c r="AX15" s="112">
        <v>100</v>
      </c>
      <c r="AY15" s="112">
        <f t="shared" si="6"/>
        <v>95</v>
      </c>
      <c r="AZ15" s="116">
        <v>20</v>
      </c>
      <c r="BA15" s="98">
        <v>0.95</v>
      </c>
      <c r="BB15" s="73" t="s">
        <v>187</v>
      </c>
      <c r="BC15" s="112">
        <v>100</v>
      </c>
      <c r="BD15" s="112">
        <f t="shared" si="7"/>
        <v>95</v>
      </c>
      <c r="BE15" s="116">
        <v>20</v>
      </c>
      <c r="BF15" s="98">
        <v>0.95</v>
      </c>
      <c r="BG15" s="73" t="s">
        <v>187</v>
      </c>
      <c r="BH15" s="112">
        <v>100</v>
      </c>
      <c r="BI15" s="112">
        <f t="shared" si="8"/>
        <v>95</v>
      </c>
      <c r="BJ15" s="116">
        <v>20</v>
      </c>
      <c r="BK15" s="98">
        <v>0.95</v>
      </c>
    </row>
    <row r="16" spans="1:63" ht="10" customHeight="1" x14ac:dyDescent="0.55000000000000004">
      <c r="B16" s="350"/>
      <c r="C16" s="73" t="s">
        <v>188</v>
      </c>
      <c r="D16" s="89" t="s">
        <v>348</v>
      </c>
      <c r="E16" s="73"/>
      <c r="F16" s="98">
        <v>0.85</v>
      </c>
      <c r="G16" s="73" t="s">
        <v>188</v>
      </c>
      <c r="H16" s="89" t="s">
        <v>348</v>
      </c>
      <c r="I16" s="73"/>
      <c r="J16" s="98">
        <v>0.85</v>
      </c>
      <c r="K16" s="73" t="s">
        <v>188</v>
      </c>
      <c r="L16" s="89" t="s">
        <v>348</v>
      </c>
      <c r="M16" s="73"/>
      <c r="N16" s="98">
        <v>0.85</v>
      </c>
      <c r="O16" s="73" t="s">
        <v>188</v>
      </c>
      <c r="P16" s="89" t="s">
        <v>348</v>
      </c>
      <c r="Q16" s="73"/>
      <c r="R16" s="98">
        <v>0.85</v>
      </c>
      <c r="S16" s="59" t="s">
        <v>188</v>
      </c>
      <c r="T16" s="114">
        <v>220</v>
      </c>
      <c r="U16" s="114">
        <f t="shared" si="4"/>
        <v>187</v>
      </c>
      <c r="V16" s="117">
        <v>53</v>
      </c>
      <c r="W16" s="99">
        <v>0.85</v>
      </c>
      <c r="X16" s="59" t="s">
        <v>188</v>
      </c>
      <c r="Y16" s="114">
        <v>220</v>
      </c>
      <c r="Z16" s="114">
        <f t="shared" si="5"/>
        <v>187</v>
      </c>
      <c r="AA16" s="117">
        <v>53</v>
      </c>
      <c r="AB16" s="99">
        <v>0.85</v>
      </c>
      <c r="AC16" s="59" t="s">
        <v>188</v>
      </c>
      <c r="AD16" s="114">
        <v>220</v>
      </c>
      <c r="AE16" s="114">
        <f t="shared" si="0"/>
        <v>187</v>
      </c>
      <c r="AF16" s="117">
        <v>53</v>
      </c>
      <c r="AG16" s="99">
        <v>0.85</v>
      </c>
      <c r="AH16" s="59" t="s">
        <v>188</v>
      </c>
      <c r="AI16" s="114">
        <v>200</v>
      </c>
      <c r="AJ16" s="114">
        <f t="shared" si="1"/>
        <v>180</v>
      </c>
      <c r="AK16" s="117">
        <v>53</v>
      </c>
      <c r="AL16" s="99">
        <v>0.9</v>
      </c>
      <c r="AM16" s="59" t="s">
        <v>188</v>
      </c>
      <c r="AN16" s="114">
        <v>200</v>
      </c>
      <c r="AO16" s="114">
        <f t="shared" si="2"/>
        <v>180</v>
      </c>
      <c r="AP16" s="117">
        <v>53</v>
      </c>
      <c r="AQ16" s="99">
        <v>0.9</v>
      </c>
      <c r="AR16" s="59" t="s">
        <v>188</v>
      </c>
      <c r="AS16" s="114">
        <v>200</v>
      </c>
      <c r="AT16" s="114">
        <f t="shared" si="3"/>
        <v>180</v>
      </c>
      <c r="AU16" s="117">
        <v>53</v>
      </c>
      <c r="AV16" s="99">
        <v>0.9</v>
      </c>
      <c r="AW16" s="59" t="s">
        <v>188</v>
      </c>
      <c r="AX16" s="114">
        <v>200</v>
      </c>
      <c r="AY16" s="114">
        <f t="shared" si="6"/>
        <v>190</v>
      </c>
      <c r="AZ16" s="117">
        <v>53</v>
      </c>
      <c r="BA16" s="99">
        <v>0.95</v>
      </c>
      <c r="BB16" s="59" t="s">
        <v>188</v>
      </c>
      <c r="BC16" s="114">
        <v>200</v>
      </c>
      <c r="BD16" s="114">
        <f t="shared" si="7"/>
        <v>190</v>
      </c>
      <c r="BE16" s="117">
        <v>53</v>
      </c>
      <c r="BF16" s="99">
        <v>0.95</v>
      </c>
      <c r="BG16" s="59" t="s">
        <v>188</v>
      </c>
      <c r="BH16" s="114">
        <v>200</v>
      </c>
      <c r="BI16" s="114">
        <f t="shared" si="8"/>
        <v>190</v>
      </c>
      <c r="BJ16" s="117">
        <v>53</v>
      </c>
      <c r="BK16" s="99">
        <v>0.95</v>
      </c>
    </row>
    <row r="17" spans="2:63" ht="10" customHeight="1" x14ac:dyDescent="0.55000000000000004">
      <c r="B17" s="350"/>
      <c r="C17" s="45" t="s">
        <v>191</v>
      </c>
      <c r="D17" s="50" t="s">
        <v>349</v>
      </c>
      <c r="E17" s="45"/>
      <c r="F17" s="108">
        <v>0.6</v>
      </c>
      <c r="G17" s="45" t="s">
        <v>191</v>
      </c>
      <c r="H17" s="50" t="s">
        <v>349</v>
      </c>
      <c r="I17" s="45"/>
      <c r="J17" s="108">
        <v>0.6</v>
      </c>
      <c r="K17" s="45" t="s">
        <v>191</v>
      </c>
      <c r="L17" s="50" t="s">
        <v>349</v>
      </c>
      <c r="M17" s="45"/>
      <c r="N17" s="108">
        <v>0.6</v>
      </c>
      <c r="O17" s="45" t="s">
        <v>191</v>
      </c>
      <c r="P17" s="50" t="s">
        <v>349</v>
      </c>
      <c r="Q17" s="45"/>
      <c r="R17" s="108">
        <v>0.6</v>
      </c>
      <c r="S17" s="73" t="s">
        <v>191</v>
      </c>
      <c r="T17" s="112">
        <v>165</v>
      </c>
      <c r="U17" s="112">
        <f t="shared" si="4"/>
        <v>99</v>
      </c>
      <c r="V17" s="116">
        <v>39</v>
      </c>
      <c r="W17" s="202">
        <v>0.6</v>
      </c>
      <c r="X17" s="73" t="s">
        <v>191</v>
      </c>
      <c r="Y17" s="112">
        <v>165</v>
      </c>
      <c r="Z17" s="112">
        <f t="shared" si="5"/>
        <v>99</v>
      </c>
      <c r="AA17" s="116">
        <v>39</v>
      </c>
      <c r="AB17" s="202">
        <v>0.6</v>
      </c>
      <c r="AC17" s="73" t="s">
        <v>191</v>
      </c>
      <c r="AD17" s="112">
        <v>165</v>
      </c>
      <c r="AE17" s="112">
        <f t="shared" si="0"/>
        <v>99</v>
      </c>
      <c r="AF17" s="116">
        <v>39</v>
      </c>
      <c r="AG17" s="202">
        <v>0.6</v>
      </c>
      <c r="AH17" s="73" t="s">
        <v>191</v>
      </c>
      <c r="AI17" s="112">
        <v>165</v>
      </c>
      <c r="AJ17" s="112">
        <f t="shared" si="1"/>
        <v>107</v>
      </c>
      <c r="AK17" s="116">
        <v>39</v>
      </c>
      <c r="AL17" s="202">
        <v>0.65</v>
      </c>
      <c r="AM17" s="73" t="s">
        <v>191</v>
      </c>
      <c r="AN17" s="112">
        <v>165</v>
      </c>
      <c r="AO17" s="112">
        <f t="shared" si="2"/>
        <v>107</v>
      </c>
      <c r="AP17" s="116">
        <v>39</v>
      </c>
      <c r="AQ17" s="202">
        <v>0.65</v>
      </c>
      <c r="AR17" s="73" t="s">
        <v>191</v>
      </c>
      <c r="AS17" s="112">
        <v>165</v>
      </c>
      <c r="AT17" s="112">
        <f t="shared" si="3"/>
        <v>107</v>
      </c>
      <c r="AU17" s="116">
        <v>39</v>
      </c>
      <c r="AV17" s="202">
        <v>0.65</v>
      </c>
      <c r="AW17" s="73" t="s">
        <v>191</v>
      </c>
      <c r="AX17" s="112">
        <v>165</v>
      </c>
      <c r="AY17" s="112">
        <f t="shared" si="6"/>
        <v>115.49999999999999</v>
      </c>
      <c r="AZ17" s="116">
        <v>39</v>
      </c>
      <c r="BA17" s="202">
        <v>0.7</v>
      </c>
      <c r="BB17" s="73" t="s">
        <v>191</v>
      </c>
      <c r="BC17" s="112">
        <v>165</v>
      </c>
      <c r="BD17" s="112">
        <f t="shared" si="7"/>
        <v>115.49999999999999</v>
      </c>
      <c r="BE17" s="116">
        <v>39</v>
      </c>
      <c r="BF17" s="202">
        <v>0.7</v>
      </c>
      <c r="BG17" s="73" t="s">
        <v>191</v>
      </c>
      <c r="BH17" s="112">
        <v>165</v>
      </c>
      <c r="BI17" s="112">
        <f t="shared" si="8"/>
        <v>115.49999999999999</v>
      </c>
      <c r="BJ17" s="116">
        <v>39</v>
      </c>
      <c r="BK17" s="202">
        <v>0.7</v>
      </c>
    </row>
    <row r="18" spans="2:63" ht="10" customHeight="1" x14ac:dyDescent="0.55000000000000004">
      <c r="B18" s="350"/>
      <c r="C18" s="73" t="s">
        <v>353</v>
      </c>
      <c r="D18" s="89" t="s">
        <v>348</v>
      </c>
      <c r="E18" s="73"/>
      <c r="F18" s="98">
        <v>0.2</v>
      </c>
      <c r="G18" s="73" t="s">
        <v>353</v>
      </c>
      <c r="H18" s="89" t="s">
        <v>348</v>
      </c>
      <c r="I18" s="73"/>
      <c r="J18" s="98">
        <v>0.2</v>
      </c>
      <c r="K18" s="73" t="s">
        <v>353</v>
      </c>
      <c r="L18" s="89" t="s">
        <v>348</v>
      </c>
      <c r="M18" s="73"/>
      <c r="N18" s="98">
        <v>0.2</v>
      </c>
      <c r="O18" s="73" t="s">
        <v>353</v>
      </c>
      <c r="P18" s="89" t="s">
        <v>348</v>
      </c>
      <c r="Q18" s="73"/>
      <c r="R18" s="98">
        <v>0.2</v>
      </c>
      <c r="S18" s="59" t="s">
        <v>353</v>
      </c>
      <c r="T18" s="114">
        <v>100</v>
      </c>
      <c r="U18" s="114">
        <f t="shared" si="4"/>
        <v>20</v>
      </c>
      <c r="V18" s="117">
        <v>15</v>
      </c>
      <c r="W18" s="99">
        <v>0.2</v>
      </c>
      <c r="X18" s="59" t="s">
        <v>353</v>
      </c>
      <c r="Y18" s="114">
        <v>120</v>
      </c>
      <c r="Z18" s="114">
        <f t="shared" si="5"/>
        <v>24</v>
      </c>
      <c r="AA18" s="117">
        <v>15</v>
      </c>
      <c r="AB18" s="99">
        <v>0.2</v>
      </c>
      <c r="AC18" s="59" t="s">
        <v>353</v>
      </c>
      <c r="AD18" s="114">
        <v>160</v>
      </c>
      <c r="AE18" s="114">
        <f t="shared" si="0"/>
        <v>48</v>
      </c>
      <c r="AF18" s="117">
        <v>15</v>
      </c>
      <c r="AG18" s="99">
        <v>0.3</v>
      </c>
      <c r="AH18" s="59" t="s">
        <v>353</v>
      </c>
      <c r="AI18" s="114">
        <v>200</v>
      </c>
      <c r="AJ18" s="114">
        <f t="shared" si="1"/>
        <v>70</v>
      </c>
      <c r="AK18" s="117">
        <v>20</v>
      </c>
      <c r="AL18" s="99">
        <v>0.35</v>
      </c>
      <c r="AM18" s="59" t="s">
        <v>353</v>
      </c>
      <c r="AN18" s="114">
        <v>200</v>
      </c>
      <c r="AO18" s="114">
        <f t="shared" si="2"/>
        <v>80</v>
      </c>
      <c r="AP18" s="117">
        <v>25</v>
      </c>
      <c r="AQ18" s="99">
        <v>0.4</v>
      </c>
      <c r="AR18" s="59" t="s">
        <v>353</v>
      </c>
      <c r="AS18" s="114">
        <v>200</v>
      </c>
      <c r="AT18" s="114">
        <f t="shared" si="3"/>
        <v>90</v>
      </c>
      <c r="AU18" s="117">
        <v>30</v>
      </c>
      <c r="AV18" s="99">
        <v>0.45</v>
      </c>
      <c r="AW18" s="59" t="s">
        <v>353</v>
      </c>
      <c r="AX18" s="114">
        <v>200</v>
      </c>
      <c r="AY18" s="114">
        <f t="shared" si="6"/>
        <v>110.00000000000001</v>
      </c>
      <c r="AZ18" s="117">
        <v>35</v>
      </c>
      <c r="BA18" s="99">
        <v>0.55000000000000004</v>
      </c>
      <c r="BB18" s="59" t="s">
        <v>353</v>
      </c>
      <c r="BC18" s="114">
        <v>200</v>
      </c>
      <c r="BD18" s="114">
        <f t="shared" si="7"/>
        <v>120</v>
      </c>
      <c r="BE18" s="117">
        <v>40</v>
      </c>
      <c r="BF18" s="99">
        <v>0.6</v>
      </c>
      <c r="BG18" s="59" t="s">
        <v>353</v>
      </c>
      <c r="BH18" s="114">
        <v>200</v>
      </c>
      <c r="BI18" s="114">
        <f t="shared" si="8"/>
        <v>130</v>
      </c>
      <c r="BJ18" s="117">
        <v>45</v>
      </c>
      <c r="BK18" s="99">
        <v>0.65</v>
      </c>
    </row>
    <row r="19" spans="2:63" ht="10" customHeight="1" x14ac:dyDescent="0.55000000000000004">
      <c r="B19" s="351" t="s">
        <v>355</v>
      </c>
      <c r="C19" s="45" t="s">
        <v>356</v>
      </c>
      <c r="D19" s="100" t="s">
        <v>348</v>
      </c>
      <c r="E19" s="45"/>
      <c r="F19" s="97">
        <v>0.95</v>
      </c>
      <c r="G19" s="45" t="s">
        <v>356</v>
      </c>
      <c r="H19" s="100" t="s">
        <v>348</v>
      </c>
      <c r="I19" s="45"/>
      <c r="J19" s="97">
        <v>0.95</v>
      </c>
      <c r="K19" s="45" t="s">
        <v>356</v>
      </c>
      <c r="L19" s="100" t="s">
        <v>348</v>
      </c>
      <c r="M19" s="45"/>
      <c r="N19" s="97">
        <v>0.95</v>
      </c>
      <c r="O19" s="45" t="s">
        <v>356</v>
      </c>
      <c r="P19" s="100" t="s">
        <v>348</v>
      </c>
      <c r="Q19" s="45"/>
      <c r="R19" s="97">
        <v>0.95</v>
      </c>
      <c r="S19" s="73" t="s">
        <v>356</v>
      </c>
      <c r="T19" s="112">
        <v>200</v>
      </c>
      <c r="U19" s="112">
        <f t="shared" si="4"/>
        <v>190</v>
      </c>
      <c r="V19" s="116">
        <v>60</v>
      </c>
      <c r="W19" s="98">
        <v>0.95</v>
      </c>
      <c r="X19" s="73" t="s">
        <v>356</v>
      </c>
      <c r="Y19" s="112">
        <v>200</v>
      </c>
      <c r="Z19" s="112">
        <f t="shared" si="5"/>
        <v>190</v>
      </c>
      <c r="AA19" s="116">
        <v>60</v>
      </c>
      <c r="AB19" s="98">
        <v>0.95</v>
      </c>
      <c r="AC19" s="73" t="s">
        <v>356</v>
      </c>
      <c r="AD19" s="112">
        <v>200</v>
      </c>
      <c r="AE19" s="112">
        <f t="shared" si="0"/>
        <v>190</v>
      </c>
      <c r="AF19" s="116">
        <v>55</v>
      </c>
      <c r="AG19" s="98">
        <v>0.95</v>
      </c>
      <c r="AH19" s="73" t="s">
        <v>356</v>
      </c>
      <c r="AI19" s="112">
        <v>200</v>
      </c>
      <c r="AJ19" s="112">
        <f t="shared" si="1"/>
        <v>190</v>
      </c>
      <c r="AK19" s="116">
        <v>55</v>
      </c>
      <c r="AL19" s="98">
        <v>0.95</v>
      </c>
      <c r="AM19" s="73" t="s">
        <v>356</v>
      </c>
      <c r="AN19" s="112">
        <v>200</v>
      </c>
      <c r="AO19" s="112">
        <f t="shared" si="2"/>
        <v>190</v>
      </c>
      <c r="AP19" s="116">
        <v>55</v>
      </c>
      <c r="AQ19" s="98">
        <v>0.95</v>
      </c>
      <c r="AR19" s="73" t="s">
        <v>356</v>
      </c>
      <c r="AS19" s="112">
        <v>200</v>
      </c>
      <c r="AT19" s="112">
        <f t="shared" si="3"/>
        <v>190</v>
      </c>
      <c r="AU19" s="116">
        <v>55</v>
      </c>
      <c r="AV19" s="98">
        <v>0.95</v>
      </c>
      <c r="AW19" s="73" t="s">
        <v>356</v>
      </c>
      <c r="AX19" s="112">
        <v>200</v>
      </c>
      <c r="AY19" s="112">
        <f t="shared" si="6"/>
        <v>190</v>
      </c>
      <c r="AZ19" s="116">
        <v>50</v>
      </c>
      <c r="BA19" s="98">
        <v>0.95</v>
      </c>
      <c r="BB19" s="73" t="s">
        <v>356</v>
      </c>
      <c r="BC19" s="112">
        <v>200</v>
      </c>
      <c r="BD19" s="112">
        <f t="shared" si="7"/>
        <v>190</v>
      </c>
      <c r="BE19" s="116">
        <v>50</v>
      </c>
      <c r="BF19" s="98">
        <v>0.95</v>
      </c>
      <c r="BG19" s="73" t="s">
        <v>356</v>
      </c>
      <c r="BH19" s="112">
        <v>200</v>
      </c>
      <c r="BI19" s="112">
        <f t="shared" si="8"/>
        <v>190</v>
      </c>
      <c r="BJ19" s="116">
        <v>50</v>
      </c>
      <c r="BK19" s="98">
        <v>0.95</v>
      </c>
    </row>
    <row r="20" spans="2:63" ht="10" customHeight="1" x14ac:dyDescent="0.55000000000000004">
      <c r="B20" s="351"/>
      <c r="C20" s="73" t="s">
        <v>189</v>
      </c>
      <c r="D20" s="89" t="s">
        <v>348</v>
      </c>
      <c r="E20" s="73"/>
      <c r="F20" s="98">
        <v>0.55000000000000004</v>
      </c>
      <c r="G20" s="73" t="s">
        <v>189</v>
      </c>
      <c r="H20" s="89" t="s">
        <v>348</v>
      </c>
      <c r="I20" s="73"/>
      <c r="J20" s="98">
        <v>0.55000000000000004</v>
      </c>
      <c r="K20" s="73" t="s">
        <v>189</v>
      </c>
      <c r="L20" s="89" t="s">
        <v>348</v>
      </c>
      <c r="M20" s="73"/>
      <c r="N20" s="98">
        <v>0.55000000000000004</v>
      </c>
      <c r="O20" s="73" t="s">
        <v>189</v>
      </c>
      <c r="P20" s="89" t="s">
        <v>348</v>
      </c>
      <c r="Q20" s="73"/>
      <c r="R20" s="98">
        <v>0.55000000000000004</v>
      </c>
      <c r="S20" s="59" t="s">
        <v>189</v>
      </c>
      <c r="T20" s="114">
        <v>200</v>
      </c>
      <c r="U20" s="114">
        <f t="shared" si="4"/>
        <v>110</v>
      </c>
      <c r="V20" s="117">
        <v>58</v>
      </c>
      <c r="W20" s="99">
        <v>0.55000000000000004</v>
      </c>
      <c r="X20" s="59" t="s">
        <v>189</v>
      </c>
      <c r="Y20" s="114">
        <v>200</v>
      </c>
      <c r="Z20" s="114">
        <f t="shared" si="5"/>
        <v>120</v>
      </c>
      <c r="AA20" s="117">
        <v>58</v>
      </c>
      <c r="AB20" s="99">
        <v>0.6</v>
      </c>
      <c r="AC20" s="59" t="s">
        <v>189</v>
      </c>
      <c r="AD20" s="114">
        <v>200</v>
      </c>
      <c r="AE20" s="114">
        <f t="shared" si="0"/>
        <v>120</v>
      </c>
      <c r="AF20" s="117">
        <v>58</v>
      </c>
      <c r="AG20" s="99">
        <v>0.6</v>
      </c>
      <c r="AH20" s="59" t="s">
        <v>189</v>
      </c>
      <c r="AI20" s="114">
        <v>200</v>
      </c>
      <c r="AJ20" s="114">
        <f t="shared" si="1"/>
        <v>130</v>
      </c>
      <c r="AK20" s="117">
        <v>55</v>
      </c>
      <c r="AL20" s="99">
        <v>0.65</v>
      </c>
      <c r="AM20" s="59" t="s">
        <v>189</v>
      </c>
      <c r="AN20" s="114">
        <v>200</v>
      </c>
      <c r="AO20" s="114">
        <f t="shared" si="2"/>
        <v>110</v>
      </c>
      <c r="AP20" s="117">
        <v>58</v>
      </c>
      <c r="AQ20" s="99">
        <v>0.55000000000000004</v>
      </c>
      <c r="AR20" s="59" t="s">
        <v>189</v>
      </c>
      <c r="AS20" s="114">
        <v>200</v>
      </c>
      <c r="AT20" s="114">
        <f t="shared" si="3"/>
        <v>130</v>
      </c>
      <c r="AU20" s="117">
        <v>55</v>
      </c>
      <c r="AV20" s="99">
        <v>0.65</v>
      </c>
      <c r="AW20" s="59" t="s">
        <v>189</v>
      </c>
      <c r="AX20" s="114">
        <v>200</v>
      </c>
      <c r="AY20" s="114">
        <f t="shared" si="6"/>
        <v>140</v>
      </c>
      <c r="AZ20" s="117">
        <v>50</v>
      </c>
      <c r="BA20" s="99">
        <v>0.7</v>
      </c>
      <c r="BB20" s="59" t="s">
        <v>189</v>
      </c>
      <c r="BC20" s="114">
        <v>200</v>
      </c>
      <c r="BD20" s="114">
        <f t="shared" si="7"/>
        <v>140</v>
      </c>
      <c r="BE20" s="117">
        <v>50</v>
      </c>
      <c r="BF20" s="99">
        <v>0.7</v>
      </c>
      <c r="BG20" s="59" t="s">
        <v>189</v>
      </c>
      <c r="BH20" s="114">
        <v>200</v>
      </c>
      <c r="BI20" s="114">
        <f t="shared" si="8"/>
        <v>150</v>
      </c>
      <c r="BJ20" s="117">
        <v>50</v>
      </c>
      <c r="BK20" s="99">
        <v>0.75</v>
      </c>
    </row>
    <row r="21" spans="2:63" ht="10" customHeight="1" x14ac:dyDescent="0.55000000000000004">
      <c r="B21" s="351"/>
      <c r="C21" s="49" t="s">
        <v>190</v>
      </c>
      <c r="D21" s="100" t="s">
        <v>348</v>
      </c>
      <c r="E21" s="49"/>
      <c r="F21" s="97">
        <v>0.3</v>
      </c>
      <c r="G21" s="49" t="s">
        <v>190</v>
      </c>
      <c r="H21" s="100" t="s">
        <v>348</v>
      </c>
      <c r="I21" s="49"/>
      <c r="J21" s="97">
        <v>0.3</v>
      </c>
      <c r="K21" s="49" t="s">
        <v>190</v>
      </c>
      <c r="L21" s="100" t="s">
        <v>348</v>
      </c>
      <c r="M21" s="49"/>
      <c r="N21" s="97">
        <v>0.3</v>
      </c>
      <c r="O21" s="49" t="s">
        <v>190</v>
      </c>
      <c r="P21" s="100" t="s">
        <v>348</v>
      </c>
      <c r="Q21" s="49"/>
      <c r="R21" s="97">
        <v>0.3</v>
      </c>
      <c r="S21" s="91" t="s">
        <v>190</v>
      </c>
      <c r="T21" s="112">
        <v>200</v>
      </c>
      <c r="U21" s="112">
        <f t="shared" si="4"/>
        <v>40</v>
      </c>
      <c r="V21" s="120">
        <v>17</v>
      </c>
      <c r="W21" s="98">
        <v>0.2</v>
      </c>
      <c r="X21" s="91" t="s">
        <v>190</v>
      </c>
      <c r="Y21" s="112">
        <v>200</v>
      </c>
      <c r="Z21" s="112">
        <f t="shared" si="5"/>
        <v>50</v>
      </c>
      <c r="AA21" s="120">
        <v>20</v>
      </c>
      <c r="AB21" s="98">
        <v>0.25</v>
      </c>
      <c r="AC21" s="91" t="s">
        <v>190</v>
      </c>
      <c r="AD21" s="112">
        <v>200</v>
      </c>
      <c r="AE21" s="112">
        <f t="shared" si="0"/>
        <v>60</v>
      </c>
      <c r="AF21" s="120">
        <v>25</v>
      </c>
      <c r="AG21" s="98">
        <v>0.3</v>
      </c>
      <c r="AH21" s="91" t="s">
        <v>190</v>
      </c>
      <c r="AI21" s="112">
        <v>200</v>
      </c>
      <c r="AJ21" s="112">
        <f t="shared" si="1"/>
        <v>70</v>
      </c>
      <c r="AK21" s="120">
        <v>30</v>
      </c>
      <c r="AL21" s="98">
        <v>0.35</v>
      </c>
      <c r="AM21" s="91" t="s">
        <v>190</v>
      </c>
      <c r="AN21" s="112">
        <v>200</v>
      </c>
      <c r="AO21" s="112">
        <f t="shared" si="2"/>
        <v>80</v>
      </c>
      <c r="AP21" s="120">
        <v>30</v>
      </c>
      <c r="AQ21" s="98">
        <v>0.4</v>
      </c>
      <c r="AR21" s="91" t="s">
        <v>190</v>
      </c>
      <c r="AS21" s="112">
        <v>200</v>
      </c>
      <c r="AT21" s="112">
        <f t="shared" si="3"/>
        <v>90</v>
      </c>
      <c r="AU21" s="120">
        <v>35</v>
      </c>
      <c r="AV21" s="98">
        <v>0.45</v>
      </c>
      <c r="AW21" s="91" t="s">
        <v>190</v>
      </c>
      <c r="AX21" s="112">
        <v>200</v>
      </c>
      <c r="AY21" s="112">
        <f t="shared" si="6"/>
        <v>110.00000000000001</v>
      </c>
      <c r="AZ21" s="120">
        <v>35</v>
      </c>
      <c r="BA21" s="98">
        <v>0.55000000000000004</v>
      </c>
      <c r="BB21" s="91" t="s">
        <v>190</v>
      </c>
      <c r="BC21" s="112">
        <v>200</v>
      </c>
      <c r="BD21" s="112">
        <f t="shared" si="7"/>
        <v>120</v>
      </c>
      <c r="BE21" s="120">
        <v>40</v>
      </c>
      <c r="BF21" s="98">
        <v>0.6</v>
      </c>
      <c r="BG21" s="91" t="s">
        <v>190</v>
      </c>
      <c r="BH21" s="112">
        <v>200</v>
      </c>
      <c r="BI21" s="112">
        <f t="shared" si="8"/>
        <v>130</v>
      </c>
      <c r="BJ21" s="120">
        <v>45</v>
      </c>
      <c r="BK21" s="98">
        <v>0.65</v>
      </c>
    </row>
    <row r="22" spans="2:63" ht="10" customHeight="1" x14ac:dyDescent="0.55000000000000004">
      <c r="B22" s="351"/>
      <c r="C22" s="49"/>
      <c r="D22" s="100"/>
      <c r="E22" s="49"/>
      <c r="F22" s="97"/>
      <c r="G22" s="49"/>
      <c r="H22" s="100"/>
      <c r="I22" s="49"/>
      <c r="J22" s="97"/>
      <c r="K22" s="49"/>
      <c r="L22" s="100"/>
      <c r="M22" s="49"/>
      <c r="N22" s="97"/>
      <c r="O22" s="49"/>
      <c r="P22" s="100"/>
      <c r="Q22" s="49"/>
      <c r="R22" s="97"/>
      <c r="S22" s="107" t="s">
        <v>357</v>
      </c>
      <c r="T22" s="114">
        <v>200</v>
      </c>
      <c r="U22" s="114">
        <f t="shared" ref="U22:U23" si="9">ROUND(T22*W22,0)</f>
        <v>40</v>
      </c>
      <c r="V22" s="119">
        <v>10</v>
      </c>
      <c r="W22" s="99">
        <v>0.2</v>
      </c>
      <c r="X22" s="107" t="s">
        <v>357</v>
      </c>
      <c r="Y22" s="114">
        <v>200</v>
      </c>
      <c r="Z22" s="114">
        <f t="shared" ref="Z22:Z23" si="10">Y22*AB22</f>
        <v>50</v>
      </c>
      <c r="AA22" s="119">
        <v>10</v>
      </c>
      <c r="AB22" s="99">
        <v>0.25</v>
      </c>
      <c r="AC22" s="107" t="s">
        <v>357</v>
      </c>
      <c r="AD22" s="114">
        <v>200</v>
      </c>
      <c r="AE22" s="114">
        <f t="shared" ref="AE22:AE23" si="11">ROUND(AD22*AG22,0)</f>
        <v>60</v>
      </c>
      <c r="AF22" s="119">
        <v>10</v>
      </c>
      <c r="AG22" s="99">
        <v>0.3</v>
      </c>
      <c r="AH22" s="107" t="s">
        <v>357</v>
      </c>
      <c r="AI22" s="114">
        <v>200</v>
      </c>
      <c r="AJ22" s="114">
        <f t="shared" ref="AJ22:AJ23" si="12">ROUND(AI22*AL22,0)</f>
        <v>70</v>
      </c>
      <c r="AK22" s="119">
        <v>10</v>
      </c>
      <c r="AL22" s="99">
        <v>0.35</v>
      </c>
      <c r="AM22" s="107" t="s">
        <v>357</v>
      </c>
      <c r="AN22" s="114">
        <v>200</v>
      </c>
      <c r="AO22" s="114">
        <f t="shared" ref="AO22:AO23" si="13">ROUND(AN22*AQ22,0)</f>
        <v>80</v>
      </c>
      <c r="AP22" s="119">
        <v>10</v>
      </c>
      <c r="AQ22" s="99">
        <v>0.4</v>
      </c>
      <c r="AR22" s="107" t="s">
        <v>357</v>
      </c>
      <c r="AS22" s="114">
        <v>200</v>
      </c>
      <c r="AT22" s="114">
        <f t="shared" ref="AT22:AT23" si="14">ROUND(AS22*AV22,0)</f>
        <v>90</v>
      </c>
      <c r="AU22" s="119">
        <v>10</v>
      </c>
      <c r="AV22" s="99">
        <v>0.45</v>
      </c>
      <c r="AW22" s="107" t="s">
        <v>357</v>
      </c>
      <c r="AX22" s="114">
        <v>200</v>
      </c>
      <c r="AY22" s="114">
        <f>AX22*BA22</f>
        <v>110.00000000000001</v>
      </c>
      <c r="AZ22" s="119">
        <v>10</v>
      </c>
      <c r="BA22" s="99">
        <v>0.55000000000000004</v>
      </c>
      <c r="BB22" s="107" t="s">
        <v>357</v>
      </c>
      <c r="BC22" s="114">
        <v>200</v>
      </c>
      <c r="BD22" s="114">
        <f t="shared" ref="BD22" si="15">BC22*BF22</f>
        <v>120</v>
      </c>
      <c r="BE22" s="119">
        <v>10</v>
      </c>
      <c r="BF22" s="99">
        <v>0.6</v>
      </c>
      <c r="BG22" s="107" t="s">
        <v>357</v>
      </c>
      <c r="BH22" s="114">
        <v>200</v>
      </c>
      <c r="BI22" s="114">
        <f t="shared" ref="BI22" si="16">BH22*BK22</f>
        <v>130</v>
      </c>
      <c r="BJ22" s="119">
        <v>23</v>
      </c>
      <c r="BK22" s="99">
        <v>0.65</v>
      </c>
    </row>
    <row r="23" spans="2:63" ht="10" customHeight="1" x14ac:dyDescent="0.55000000000000004">
      <c r="B23" s="351"/>
      <c r="C23" s="49"/>
      <c r="D23" s="100"/>
      <c r="E23" s="49"/>
      <c r="F23" s="97"/>
      <c r="G23" s="49"/>
      <c r="H23" s="100"/>
      <c r="I23" s="49"/>
      <c r="J23" s="97"/>
      <c r="K23" s="49"/>
      <c r="L23" s="100"/>
      <c r="M23" s="49"/>
      <c r="N23" s="97"/>
      <c r="O23" s="49"/>
      <c r="P23" s="100"/>
      <c r="Q23" s="49"/>
      <c r="R23" s="97"/>
      <c r="S23" s="91" t="s">
        <v>306</v>
      </c>
      <c r="T23" s="112">
        <v>100</v>
      </c>
      <c r="U23" s="112">
        <f t="shared" si="9"/>
        <v>0</v>
      </c>
      <c r="V23" s="120">
        <v>0</v>
      </c>
      <c r="W23" s="98">
        <v>0</v>
      </c>
      <c r="X23" s="91" t="s">
        <v>306</v>
      </c>
      <c r="Y23" s="112">
        <v>70</v>
      </c>
      <c r="Z23" s="112">
        <f t="shared" si="10"/>
        <v>7</v>
      </c>
      <c r="AA23" s="120">
        <v>0</v>
      </c>
      <c r="AB23" s="98">
        <v>0.1</v>
      </c>
      <c r="AC23" s="91" t="s">
        <v>306</v>
      </c>
      <c r="AD23" s="112">
        <v>30</v>
      </c>
      <c r="AE23" s="112">
        <f t="shared" si="11"/>
        <v>6</v>
      </c>
      <c r="AF23" s="120">
        <v>0</v>
      </c>
      <c r="AG23" s="98">
        <v>0.2</v>
      </c>
      <c r="AH23" s="91" t="s">
        <v>306</v>
      </c>
      <c r="AI23" s="112">
        <v>165</v>
      </c>
      <c r="AJ23" s="112">
        <f t="shared" si="12"/>
        <v>50</v>
      </c>
      <c r="AK23" s="120">
        <v>3</v>
      </c>
      <c r="AL23" s="98">
        <v>0.3</v>
      </c>
      <c r="AM23" s="91" t="s">
        <v>306</v>
      </c>
      <c r="AN23" s="112">
        <v>165</v>
      </c>
      <c r="AO23" s="112">
        <f t="shared" si="13"/>
        <v>66</v>
      </c>
      <c r="AP23" s="120">
        <v>6</v>
      </c>
      <c r="AQ23" s="98">
        <v>0.4</v>
      </c>
      <c r="AR23" s="91" t="s">
        <v>306</v>
      </c>
      <c r="AS23" s="112">
        <v>165</v>
      </c>
      <c r="AT23" s="112">
        <f t="shared" si="14"/>
        <v>83</v>
      </c>
      <c r="AU23" s="120">
        <v>8</v>
      </c>
      <c r="AV23" s="98">
        <v>0.5</v>
      </c>
      <c r="AW23" s="91" t="s">
        <v>306</v>
      </c>
      <c r="AX23" s="112">
        <v>165</v>
      </c>
      <c r="AY23" s="112">
        <f>AX23*BA23</f>
        <v>99</v>
      </c>
      <c r="AZ23" s="120">
        <v>10</v>
      </c>
      <c r="BA23" s="98">
        <v>0.6</v>
      </c>
      <c r="BB23" s="91" t="s">
        <v>306</v>
      </c>
      <c r="BC23" s="112">
        <v>165</v>
      </c>
      <c r="BD23" s="112">
        <f>BC23*BF23</f>
        <v>115.49999999999999</v>
      </c>
      <c r="BE23" s="120">
        <v>10</v>
      </c>
      <c r="BF23" s="98">
        <v>0.7</v>
      </c>
      <c r="BG23" s="91" t="s">
        <v>306</v>
      </c>
      <c r="BH23" s="112">
        <v>165</v>
      </c>
      <c r="BI23" s="112">
        <f>BH23*BK23</f>
        <v>123.75</v>
      </c>
      <c r="BJ23" s="120">
        <v>10</v>
      </c>
      <c r="BK23" s="98">
        <v>0.75</v>
      </c>
    </row>
    <row r="24" spans="2:63" ht="10" customHeight="1" x14ac:dyDescent="0.55000000000000004">
      <c r="B24" s="351"/>
      <c r="C24" s="91" t="s">
        <v>357</v>
      </c>
      <c r="D24" s="89" t="s">
        <v>348</v>
      </c>
      <c r="E24" s="91"/>
      <c r="F24" s="98">
        <v>0.3</v>
      </c>
      <c r="G24" s="91" t="s">
        <v>357</v>
      </c>
      <c r="H24" s="89" t="s">
        <v>348</v>
      </c>
      <c r="I24" s="91"/>
      <c r="J24" s="98">
        <v>0.3</v>
      </c>
      <c r="K24" s="91" t="s">
        <v>357</v>
      </c>
      <c r="L24" s="89" t="s">
        <v>348</v>
      </c>
      <c r="M24" s="91"/>
      <c r="N24" s="98">
        <v>0.3</v>
      </c>
      <c r="O24" s="91" t="s">
        <v>357</v>
      </c>
      <c r="P24" s="89" t="s">
        <v>348</v>
      </c>
      <c r="Q24" s="91"/>
      <c r="R24" s="98">
        <v>0.3</v>
      </c>
      <c r="S24" s="56"/>
      <c r="T24" s="145"/>
      <c r="U24" s="145"/>
      <c r="V24" s="145"/>
      <c r="W24" s="145"/>
      <c r="X24" s="107" t="s">
        <v>397</v>
      </c>
      <c r="Y24" s="114">
        <v>70</v>
      </c>
      <c r="Z24" s="114">
        <f t="shared" si="5"/>
        <v>17.5</v>
      </c>
      <c r="AA24" s="119">
        <v>10</v>
      </c>
      <c r="AB24" s="99">
        <v>0.25</v>
      </c>
      <c r="AC24" s="107" t="s">
        <v>397</v>
      </c>
      <c r="AD24" s="114">
        <v>70</v>
      </c>
      <c r="AE24" s="114">
        <f t="shared" si="0"/>
        <v>21</v>
      </c>
      <c r="AF24" s="119">
        <v>10</v>
      </c>
      <c r="AG24" s="99">
        <v>0.3</v>
      </c>
      <c r="AH24" s="107" t="s">
        <v>397</v>
      </c>
      <c r="AI24" s="114">
        <v>130</v>
      </c>
      <c r="AJ24" s="114">
        <f t="shared" si="1"/>
        <v>46</v>
      </c>
      <c r="AK24" s="119">
        <v>10</v>
      </c>
      <c r="AL24" s="99">
        <v>0.35</v>
      </c>
      <c r="AM24" s="107" t="s">
        <v>397</v>
      </c>
      <c r="AN24" s="114">
        <v>130</v>
      </c>
      <c r="AO24" s="114">
        <f t="shared" si="2"/>
        <v>52</v>
      </c>
      <c r="AP24" s="119">
        <v>10</v>
      </c>
      <c r="AQ24" s="99">
        <v>0.4</v>
      </c>
      <c r="AR24" s="107" t="s">
        <v>397</v>
      </c>
      <c r="AS24" s="114">
        <v>130</v>
      </c>
      <c r="AT24" s="114">
        <f t="shared" si="3"/>
        <v>59</v>
      </c>
      <c r="AU24" s="119">
        <v>10</v>
      </c>
      <c r="AV24" s="99">
        <v>0.45</v>
      </c>
      <c r="AW24" s="107" t="s">
        <v>397</v>
      </c>
      <c r="AX24" s="114">
        <v>130</v>
      </c>
      <c r="AY24" s="114">
        <f t="shared" si="6"/>
        <v>71.5</v>
      </c>
      <c r="AZ24" s="119">
        <v>10</v>
      </c>
      <c r="BA24" s="99">
        <v>0.55000000000000004</v>
      </c>
      <c r="BB24" s="107" t="s">
        <v>397</v>
      </c>
      <c r="BC24" s="114">
        <v>130</v>
      </c>
      <c r="BD24" s="114">
        <f t="shared" si="7"/>
        <v>78</v>
      </c>
      <c r="BE24" s="119">
        <v>10</v>
      </c>
      <c r="BF24" s="99">
        <v>0.6</v>
      </c>
      <c r="BG24" s="107" t="s">
        <v>397</v>
      </c>
      <c r="BH24" s="114">
        <v>130</v>
      </c>
      <c r="BI24" s="114">
        <f t="shared" si="8"/>
        <v>84.5</v>
      </c>
      <c r="BJ24" s="119">
        <v>23</v>
      </c>
      <c r="BK24" s="99">
        <v>0.65</v>
      </c>
    </row>
    <row r="25" spans="2:63" ht="10" customHeight="1" x14ac:dyDescent="0.55000000000000004">
      <c r="B25" s="345" t="s">
        <v>389</v>
      </c>
      <c r="C25" s="91"/>
      <c r="D25" s="89"/>
      <c r="E25" s="91"/>
      <c r="F25" s="98"/>
      <c r="G25" s="91"/>
      <c r="H25" s="89"/>
      <c r="I25" s="91"/>
      <c r="J25" s="98"/>
      <c r="K25" s="91"/>
      <c r="L25" s="89"/>
      <c r="M25" s="91"/>
      <c r="N25" s="98"/>
      <c r="O25" s="91"/>
      <c r="P25" s="89"/>
      <c r="Q25" s="91"/>
      <c r="R25" s="98"/>
      <c r="S25" s="91" t="s">
        <v>390</v>
      </c>
      <c r="T25" s="112">
        <v>200</v>
      </c>
      <c r="U25" s="112">
        <f t="shared" si="4"/>
        <v>120</v>
      </c>
      <c r="V25" s="120">
        <v>46</v>
      </c>
      <c r="W25" s="98">
        <v>0.6</v>
      </c>
      <c r="X25" s="91" t="s">
        <v>390</v>
      </c>
      <c r="Y25" s="112">
        <v>200</v>
      </c>
      <c r="Z25" s="112">
        <f t="shared" ref="Z25" si="17">ROUND(Y25*AB25,0)</f>
        <v>120</v>
      </c>
      <c r="AA25" s="120">
        <v>46</v>
      </c>
      <c r="AB25" s="98">
        <v>0.6</v>
      </c>
      <c r="AC25" s="91" t="s">
        <v>390</v>
      </c>
      <c r="AD25" s="112">
        <v>200</v>
      </c>
      <c r="AE25" s="112">
        <f t="shared" ref="AE25" si="18">ROUND(AD25*AG25,0)</f>
        <v>120</v>
      </c>
      <c r="AF25" s="120">
        <v>46</v>
      </c>
      <c r="AG25" s="98">
        <v>0.6</v>
      </c>
      <c r="AH25" s="91" t="s">
        <v>390</v>
      </c>
      <c r="AI25" s="112">
        <v>200</v>
      </c>
      <c r="AJ25" s="112">
        <f t="shared" ref="AJ25" si="19">ROUND(AI25*AL25,0)</f>
        <v>120</v>
      </c>
      <c r="AK25" s="120">
        <v>46</v>
      </c>
      <c r="AL25" s="98">
        <v>0.6</v>
      </c>
      <c r="AM25" s="91" t="s">
        <v>390</v>
      </c>
      <c r="AN25" s="112">
        <v>200</v>
      </c>
      <c r="AO25" s="112">
        <f t="shared" si="2"/>
        <v>130</v>
      </c>
      <c r="AP25" s="120">
        <v>46</v>
      </c>
      <c r="AQ25" s="98">
        <v>0.65</v>
      </c>
      <c r="AR25" s="91" t="s">
        <v>390</v>
      </c>
      <c r="AS25" s="112">
        <v>200</v>
      </c>
      <c r="AT25" s="112">
        <f t="shared" si="3"/>
        <v>130</v>
      </c>
      <c r="AU25" s="120">
        <v>46</v>
      </c>
      <c r="AV25" s="98">
        <v>0.65</v>
      </c>
      <c r="AW25" s="91" t="s">
        <v>390</v>
      </c>
      <c r="AX25" s="112">
        <v>200</v>
      </c>
      <c r="AY25" s="112">
        <f>ROUND(AX25*BA25,0)</f>
        <v>140</v>
      </c>
      <c r="AZ25" s="120">
        <v>46</v>
      </c>
      <c r="BA25" s="98">
        <v>0.7</v>
      </c>
      <c r="BB25" s="91" t="s">
        <v>390</v>
      </c>
      <c r="BC25" s="112">
        <v>200</v>
      </c>
      <c r="BD25" s="112">
        <f>ROUND(BC25*BF25,0)</f>
        <v>140</v>
      </c>
      <c r="BE25" s="120">
        <v>46</v>
      </c>
      <c r="BF25" s="98">
        <v>0.7</v>
      </c>
      <c r="BG25" s="91" t="s">
        <v>390</v>
      </c>
      <c r="BH25" s="112">
        <v>200</v>
      </c>
      <c r="BI25" s="112">
        <f t="shared" ref="BI25" si="20">ROUND(BH25*BK25,0)</f>
        <v>150</v>
      </c>
      <c r="BJ25" s="120">
        <v>46</v>
      </c>
      <c r="BK25" s="98">
        <v>0.75</v>
      </c>
    </row>
    <row r="26" spans="2:63" ht="10" customHeight="1" x14ac:dyDescent="0.55000000000000004">
      <c r="B26" s="346"/>
      <c r="C26" s="49" t="s">
        <v>358</v>
      </c>
      <c r="D26" s="100" t="s">
        <v>348</v>
      </c>
      <c r="E26" s="49"/>
      <c r="F26" s="97">
        <v>0.6</v>
      </c>
      <c r="G26" s="49" t="s">
        <v>358</v>
      </c>
      <c r="H26" s="100" t="s">
        <v>348</v>
      </c>
      <c r="I26" s="49"/>
      <c r="J26" s="97">
        <v>0.6</v>
      </c>
      <c r="K26" s="49" t="s">
        <v>358</v>
      </c>
      <c r="L26" s="100" t="s">
        <v>348</v>
      </c>
      <c r="M26" s="49"/>
      <c r="N26" s="97">
        <v>0.6</v>
      </c>
      <c r="O26" s="49" t="s">
        <v>358</v>
      </c>
      <c r="P26" s="100" t="s">
        <v>348</v>
      </c>
      <c r="Q26" s="49"/>
      <c r="R26" s="97">
        <v>0.6</v>
      </c>
      <c r="S26" s="107" t="s">
        <v>358</v>
      </c>
      <c r="T26" s="114">
        <v>220</v>
      </c>
      <c r="U26" s="114">
        <f t="shared" si="4"/>
        <v>132</v>
      </c>
      <c r="V26" s="119">
        <v>50</v>
      </c>
      <c r="W26" s="99">
        <v>0.6</v>
      </c>
      <c r="X26" s="107" t="s">
        <v>358</v>
      </c>
      <c r="Y26" s="114">
        <v>220</v>
      </c>
      <c r="Z26" s="114">
        <f t="shared" si="5"/>
        <v>132</v>
      </c>
      <c r="AA26" s="119">
        <v>50</v>
      </c>
      <c r="AB26" s="99">
        <v>0.6</v>
      </c>
      <c r="AC26" s="107" t="s">
        <v>358</v>
      </c>
      <c r="AD26" s="114">
        <v>220</v>
      </c>
      <c r="AE26" s="114">
        <f>ROUND(AD26*AG26,0)</f>
        <v>132</v>
      </c>
      <c r="AF26" s="119">
        <v>55</v>
      </c>
      <c r="AG26" s="99">
        <v>0.6</v>
      </c>
      <c r="AH26" s="107" t="s">
        <v>358</v>
      </c>
      <c r="AI26" s="114">
        <v>220</v>
      </c>
      <c r="AJ26" s="114">
        <f>ROUND(AI26*AL26,0)</f>
        <v>132</v>
      </c>
      <c r="AK26" s="119">
        <v>50</v>
      </c>
      <c r="AL26" s="99">
        <v>0.6</v>
      </c>
      <c r="AM26" s="107" t="s">
        <v>358</v>
      </c>
      <c r="AN26" s="114">
        <v>220</v>
      </c>
      <c r="AO26" s="114">
        <f t="shared" si="2"/>
        <v>143</v>
      </c>
      <c r="AP26" s="119">
        <v>50</v>
      </c>
      <c r="AQ26" s="99">
        <v>0.65</v>
      </c>
      <c r="AR26" s="107" t="s">
        <v>358</v>
      </c>
      <c r="AS26" s="114">
        <v>220</v>
      </c>
      <c r="AT26" s="114">
        <f t="shared" si="3"/>
        <v>143</v>
      </c>
      <c r="AU26" s="119">
        <v>50</v>
      </c>
      <c r="AV26" s="99">
        <v>0.65</v>
      </c>
      <c r="AW26" s="107" t="s">
        <v>358</v>
      </c>
      <c r="AX26" s="114">
        <v>220</v>
      </c>
      <c r="AY26" s="114">
        <f t="shared" si="6"/>
        <v>154</v>
      </c>
      <c r="AZ26" s="119">
        <v>50</v>
      </c>
      <c r="BA26" s="99">
        <v>0.7</v>
      </c>
      <c r="BB26" s="107" t="s">
        <v>358</v>
      </c>
      <c r="BC26" s="114">
        <v>220</v>
      </c>
      <c r="BD26" s="114">
        <f t="shared" si="7"/>
        <v>154</v>
      </c>
      <c r="BE26" s="119">
        <v>50</v>
      </c>
      <c r="BF26" s="99">
        <v>0.7</v>
      </c>
      <c r="BG26" s="107" t="s">
        <v>358</v>
      </c>
      <c r="BH26" s="114">
        <v>200</v>
      </c>
      <c r="BI26" s="114">
        <f t="shared" si="8"/>
        <v>150</v>
      </c>
      <c r="BJ26" s="119">
        <v>50</v>
      </c>
      <c r="BK26" s="99">
        <v>0.75</v>
      </c>
    </row>
    <row r="27" spans="2:63" ht="10" customHeight="1" x14ac:dyDescent="0.55000000000000004">
      <c r="B27" s="346"/>
      <c r="C27" s="91" t="s">
        <v>202</v>
      </c>
      <c r="D27" s="89" t="s">
        <v>349</v>
      </c>
      <c r="E27" s="91"/>
      <c r="F27" s="109">
        <v>0</v>
      </c>
      <c r="G27" s="91" t="s">
        <v>202</v>
      </c>
      <c r="H27" s="89" t="s">
        <v>349</v>
      </c>
      <c r="I27" s="91"/>
      <c r="J27" s="109">
        <v>0</v>
      </c>
      <c r="K27" s="91" t="s">
        <v>202</v>
      </c>
      <c r="L27" s="89" t="s">
        <v>349</v>
      </c>
      <c r="M27" s="91"/>
      <c r="N27" s="109">
        <v>0</v>
      </c>
      <c r="O27" s="91" t="s">
        <v>202</v>
      </c>
      <c r="P27" s="89" t="s">
        <v>349</v>
      </c>
      <c r="Q27" s="91"/>
      <c r="R27" s="109">
        <v>0</v>
      </c>
      <c r="S27" s="91" t="s">
        <v>202</v>
      </c>
      <c r="T27" s="112">
        <v>165</v>
      </c>
      <c r="U27" s="112">
        <f t="shared" si="4"/>
        <v>0</v>
      </c>
      <c r="V27" s="120">
        <v>0</v>
      </c>
      <c r="W27" s="109">
        <v>0</v>
      </c>
      <c r="X27" s="91" t="s">
        <v>202</v>
      </c>
      <c r="Y27" s="112">
        <v>165</v>
      </c>
      <c r="Z27" s="112">
        <f t="shared" si="5"/>
        <v>16.5</v>
      </c>
      <c r="AA27" s="120">
        <v>0</v>
      </c>
      <c r="AB27" s="109">
        <v>0.1</v>
      </c>
      <c r="AC27" s="91" t="s">
        <v>202</v>
      </c>
      <c r="AD27" s="112">
        <v>165</v>
      </c>
      <c r="AE27" s="112">
        <f>ROUND(AD27*AG27,0)</f>
        <v>25</v>
      </c>
      <c r="AF27" s="120">
        <v>0</v>
      </c>
      <c r="AG27" s="109">
        <v>0.15</v>
      </c>
      <c r="AH27" s="91" t="s">
        <v>202</v>
      </c>
      <c r="AI27" s="112">
        <v>165</v>
      </c>
      <c r="AJ27" s="112">
        <f>ROUND(AI27*AL27,0)</f>
        <v>33</v>
      </c>
      <c r="AK27" s="120">
        <v>5</v>
      </c>
      <c r="AL27" s="109">
        <v>0.2</v>
      </c>
      <c r="AM27" s="91" t="s">
        <v>202</v>
      </c>
      <c r="AN27" s="112">
        <v>165</v>
      </c>
      <c r="AO27" s="112">
        <f t="shared" si="2"/>
        <v>41</v>
      </c>
      <c r="AP27" s="120">
        <v>5</v>
      </c>
      <c r="AQ27" s="109">
        <v>0.25</v>
      </c>
      <c r="AR27" s="91" t="s">
        <v>202</v>
      </c>
      <c r="AS27" s="112">
        <v>165</v>
      </c>
      <c r="AT27" s="112">
        <f t="shared" si="3"/>
        <v>50</v>
      </c>
      <c r="AU27" s="120">
        <v>10</v>
      </c>
      <c r="AV27" s="109">
        <v>0.3</v>
      </c>
      <c r="AW27" s="91" t="s">
        <v>202</v>
      </c>
      <c r="AX27" s="112">
        <v>165</v>
      </c>
      <c r="AY27" s="112">
        <f t="shared" si="6"/>
        <v>57.749999999999993</v>
      </c>
      <c r="AZ27" s="120">
        <v>10</v>
      </c>
      <c r="BA27" s="109">
        <v>0.35</v>
      </c>
      <c r="BB27" s="91" t="s">
        <v>202</v>
      </c>
      <c r="BC27" s="112">
        <v>165</v>
      </c>
      <c r="BD27" s="112">
        <f t="shared" si="7"/>
        <v>66</v>
      </c>
      <c r="BE27" s="120">
        <v>10</v>
      </c>
      <c r="BF27" s="109">
        <v>0.4</v>
      </c>
      <c r="BG27" s="91" t="s">
        <v>202</v>
      </c>
      <c r="BH27" s="112">
        <v>165</v>
      </c>
      <c r="BI27" s="112">
        <f t="shared" si="8"/>
        <v>74.25</v>
      </c>
      <c r="BJ27" s="120">
        <v>10</v>
      </c>
      <c r="BK27" s="109">
        <v>0.45</v>
      </c>
    </row>
    <row r="28" spans="2:63" ht="10" customHeight="1" x14ac:dyDescent="0.55000000000000004">
      <c r="B28" s="346"/>
      <c r="C28" s="91"/>
      <c r="D28" s="89"/>
      <c r="E28" s="91"/>
      <c r="F28" s="109"/>
      <c r="G28" s="91"/>
      <c r="H28" s="89"/>
      <c r="I28" s="91"/>
      <c r="J28" s="109"/>
      <c r="K28" s="91"/>
      <c r="L28" s="89"/>
      <c r="M28" s="91"/>
      <c r="N28" s="109"/>
      <c r="O28" s="91"/>
      <c r="P28" s="89"/>
      <c r="Q28" s="91"/>
      <c r="R28" s="109"/>
      <c r="S28" s="107" t="s">
        <v>395</v>
      </c>
      <c r="T28" s="114">
        <v>200</v>
      </c>
      <c r="U28" s="114">
        <f t="shared" ref="U28" si="21">ROUND(T28*W28,0)</f>
        <v>40</v>
      </c>
      <c r="V28" s="119">
        <v>0</v>
      </c>
      <c r="W28" s="131">
        <v>0.2</v>
      </c>
      <c r="X28" s="107" t="s">
        <v>395</v>
      </c>
      <c r="Y28" s="114">
        <v>200</v>
      </c>
      <c r="Z28" s="114">
        <f t="shared" ref="Z28" si="22">Y28*AB28</f>
        <v>50</v>
      </c>
      <c r="AA28" s="119">
        <v>0</v>
      </c>
      <c r="AB28" s="131">
        <v>0.25</v>
      </c>
      <c r="AC28" s="107" t="s">
        <v>395</v>
      </c>
      <c r="AD28" s="114">
        <v>200</v>
      </c>
      <c r="AE28" s="114">
        <f>ROUND(AD28*AG28,0)</f>
        <v>60</v>
      </c>
      <c r="AF28" s="119">
        <v>0</v>
      </c>
      <c r="AG28" s="131">
        <v>0.3</v>
      </c>
      <c r="AH28" s="107" t="s">
        <v>395</v>
      </c>
      <c r="AI28" s="114">
        <v>200</v>
      </c>
      <c r="AJ28" s="114">
        <f>ROUND(AI28*AL28,0)</f>
        <v>70</v>
      </c>
      <c r="AK28" s="119">
        <v>5</v>
      </c>
      <c r="AL28" s="131">
        <v>0.35</v>
      </c>
      <c r="AM28" s="107" t="s">
        <v>395</v>
      </c>
      <c r="AN28" s="114">
        <v>200</v>
      </c>
      <c r="AO28" s="114">
        <f t="shared" ref="AO28" si="23">ROUND(AN28*AQ28,0)</f>
        <v>80</v>
      </c>
      <c r="AP28" s="119">
        <v>10</v>
      </c>
      <c r="AQ28" s="131">
        <v>0.4</v>
      </c>
      <c r="AR28" s="107" t="s">
        <v>395</v>
      </c>
      <c r="AS28" s="114">
        <v>200</v>
      </c>
      <c r="AT28" s="114">
        <f t="shared" ref="AT28" si="24">ROUND(AS28*AV28,0)</f>
        <v>90</v>
      </c>
      <c r="AU28" s="119">
        <v>15</v>
      </c>
      <c r="AV28" s="131">
        <v>0.45</v>
      </c>
      <c r="AW28" s="107" t="s">
        <v>395</v>
      </c>
      <c r="AX28" s="114">
        <v>200</v>
      </c>
      <c r="AY28" s="114">
        <f t="shared" ref="AY28" si="25">AX28*BA28</f>
        <v>110.00000000000001</v>
      </c>
      <c r="AZ28" s="119">
        <v>15</v>
      </c>
      <c r="BA28" s="131">
        <v>0.55000000000000004</v>
      </c>
      <c r="BB28" s="107" t="s">
        <v>395</v>
      </c>
      <c r="BC28" s="114">
        <v>200</v>
      </c>
      <c r="BD28" s="114">
        <f t="shared" ref="BD28" si="26">BC28*BF28</f>
        <v>120</v>
      </c>
      <c r="BE28" s="119">
        <v>25</v>
      </c>
      <c r="BF28" s="131">
        <v>0.6</v>
      </c>
      <c r="BG28" s="107" t="s">
        <v>395</v>
      </c>
      <c r="BH28" s="114">
        <v>200</v>
      </c>
      <c r="BI28" s="114">
        <f t="shared" ref="BI28" si="27">BH28*BK28</f>
        <v>130</v>
      </c>
      <c r="BJ28" s="119">
        <v>25</v>
      </c>
      <c r="BK28" s="131">
        <v>0.65</v>
      </c>
    </row>
    <row r="29" spans="2:63" ht="10" customHeight="1" x14ac:dyDescent="0.55000000000000004">
      <c r="B29" s="347"/>
      <c r="C29" s="49" t="s">
        <v>300</v>
      </c>
      <c r="D29" s="100" t="s">
        <v>348</v>
      </c>
      <c r="E29" s="49"/>
      <c r="F29" s="110">
        <v>0</v>
      </c>
      <c r="G29" s="49" t="s">
        <v>300</v>
      </c>
      <c r="H29" s="100" t="s">
        <v>348</v>
      </c>
      <c r="I29" s="49"/>
      <c r="J29" s="110">
        <v>0</v>
      </c>
      <c r="K29" s="49" t="s">
        <v>300</v>
      </c>
      <c r="L29" s="100" t="s">
        <v>348</v>
      </c>
      <c r="M29" s="49"/>
      <c r="N29" s="110">
        <v>0</v>
      </c>
      <c r="O29" s="49" t="s">
        <v>300</v>
      </c>
      <c r="P29" s="100" t="s">
        <v>348</v>
      </c>
      <c r="Q29" s="49"/>
      <c r="R29" s="110">
        <v>0</v>
      </c>
      <c r="S29" s="91" t="s">
        <v>300</v>
      </c>
      <c r="T29" s="112">
        <v>100</v>
      </c>
      <c r="U29" s="112">
        <f t="shared" si="4"/>
        <v>0</v>
      </c>
      <c r="V29" s="120">
        <v>0</v>
      </c>
      <c r="W29" s="109">
        <v>0</v>
      </c>
      <c r="X29" s="91" t="s">
        <v>300</v>
      </c>
      <c r="Y29" s="112">
        <v>100</v>
      </c>
      <c r="Z29" s="112">
        <f t="shared" si="5"/>
        <v>10</v>
      </c>
      <c r="AA29" s="120">
        <v>0</v>
      </c>
      <c r="AB29" s="109">
        <v>0.1</v>
      </c>
      <c r="AC29" s="91" t="s">
        <v>300</v>
      </c>
      <c r="AD29" s="112">
        <v>200</v>
      </c>
      <c r="AE29" s="112">
        <f>ROUND(AD29*AG29,0)</f>
        <v>30</v>
      </c>
      <c r="AF29" s="120">
        <v>0</v>
      </c>
      <c r="AG29" s="109">
        <v>0.15</v>
      </c>
      <c r="AH29" s="91" t="s">
        <v>300</v>
      </c>
      <c r="AI29" s="112">
        <v>200</v>
      </c>
      <c r="AJ29" s="112">
        <f>ROUND(AI29*AL29,0)</f>
        <v>40</v>
      </c>
      <c r="AK29" s="120">
        <v>5</v>
      </c>
      <c r="AL29" s="109">
        <v>0.2</v>
      </c>
      <c r="AM29" s="91" t="s">
        <v>300</v>
      </c>
      <c r="AN29" s="112">
        <v>200</v>
      </c>
      <c r="AO29" s="112">
        <f t="shared" si="2"/>
        <v>50</v>
      </c>
      <c r="AP29" s="120">
        <v>10</v>
      </c>
      <c r="AQ29" s="109">
        <v>0.25</v>
      </c>
      <c r="AR29" s="91" t="s">
        <v>300</v>
      </c>
      <c r="AS29" s="112">
        <v>200</v>
      </c>
      <c r="AT29" s="112">
        <f t="shared" si="3"/>
        <v>60</v>
      </c>
      <c r="AU29" s="120">
        <v>15</v>
      </c>
      <c r="AV29" s="109">
        <v>0.3</v>
      </c>
      <c r="AW29" s="91" t="s">
        <v>300</v>
      </c>
      <c r="AX29" s="112">
        <v>200</v>
      </c>
      <c r="AY29" s="112">
        <f t="shared" si="6"/>
        <v>70</v>
      </c>
      <c r="AZ29" s="120">
        <v>15</v>
      </c>
      <c r="BA29" s="109">
        <v>0.35</v>
      </c>
      <c r="BB29" s="91" t="s">
        <v>300</v>
      </c>
      <c r="BC29" s="112">
        <v>200</v>
      </c>
      <c r="BD29" s="112">
        <f t="shared" si="7"/>
        <v>80</v>
      </c>
      <c r="BE29" s="120">
        <v>25</v>
      </c>
      <c r="BF29" s="109">
        <v>0.4</v>
      </c>
      <c r="BG29" s="91" t="s">
        <v>300</v>
      </c>
      <c r="BH29" s="112">
        <v>200</v>
      </c>
      <c r="BI29" s="112">
        <f t="shared" si="8"/>
        <v>80</v>
      </c>
      <c r="BJ29" s="120">
        <v>25</v>
      </c>
      <c r="BK29" s="109">
        <v>0.4</v>
      </c>
    </row>
    <row r="30" spans="2:63" ht="10" customHeight="1" x14ac:dyDescent="0.55000000000000004">
      <c r="B30" s="345" t="s">
        <v>359</v>
      </c>
      <c r="C30" s="49"/>
      <c r="D30" s="100"/>
      <c r="E30" s="49"/>
      <c r="F30" s="110"/>
      <c r="G30" s="49"/>
      <c r="H30" s="100"/>
      <c r="I30" s="49"/>
      <c r="J30" s="110"/>
      <c r="K30" s="49"/>
      <c r="L30" s="100"/>
      <c r="M30" s="49"/>
      <c r="N30" s="110"/>
      <c r="O30" s="49"/>
      <c r="P30" s="100"/>
      <c r="Q30" s="49"/>
      <c r="R30" s="110"/>
      <c r="S30" s="107" t="s">
        <v>360</v>
      </c>
      <c r="T30" s="114">
        <v>40</v>
      </c>
      <c r="U30" s="114">
        <f t="shared" ref="U30:U31" si="28">ROUND(T30*W30,0)</f>
        <v>38</v>
      </c>
      <c r="V30" s="119">
        <v>15</v>
      </c>
      <c r="W30" s="99">
        <v>0.95</v>
      </c>
      <c r="X30" s="107" t="s">
        <v>360</v>
      </c>
      <c r="Y30" s="114">
        <v>40</v>
      </c>
      <c r="Z30" s="114">
        <f t="shared" ref="Z30:Z31" si="29">Y30*AB30</f>
        <v>38</v>
      </c>
      <c r="AA30" s="119">
        <v>15</v>
      </c>
      <c r="AB30" s="99">
        <v>0.95</v>
      </c>
      <c r="AC30" s="107" t="s">
        <v>360</v>
      </c>
      <c r="AD30" s="114">
        <v>40</v>
      </c>
      <c r="AE30" s="114">
        <f>ROUND(AD30*AG30,0)</f>
        <v>38</v>
      </c>
      <c r="AF30" s="119">
        <v>15</v>
      </c>
      <c r="AG30" s="99">
        <v>0.95</v>
      </c>
      <c r="AH30" s="107" t="s">
        <v>360</v>
      </c>
      <c r="AI30" s="114">
        <v>40</v>
      </c>
      <c r="AJ30" s="114">
        <f>ROUND(AI30*AL30,0)</f>
        <v>38</v>
      </c>
      <c r="AK30" s="119">
        <v>15</v>
      </c>
      <c r="AL30" s="99">
        <v>0.95</v>
      </c>
      <c r="AM30" s="107" t="s">
        <v>360</v>
      </c>
      <c r="AN30" s="114">
        <v>40</v>
      </c>
      <c r="AO30" s="114">
        <f t="shared" ref="AO30:AO31" si="30">ROUND(AN30*AQ30,0)</f>
        <v>38</v>
      </c>
      <c r="AP30" s="119">
        <v>15</v>
      </c>
      <c r="AQ30" s="99">
        <v>0.95</v>
      </c>
      <c r="AR30" s="107" t="s">
        <v>360</v>
      </c>
      <c r="AS30" s="114">
        <v>40</v>
      </c>
      <c r="AT30" s="114">
        <f t="shared" ref="AT30:AT31" si="31">ROUND(AS30*AV30,0)</f>
        <v>38</v>
      </c>
      <c r="AU30" s="119">
        <v>15</v>
      </c>
      <c r="AV30" s="99">
        <v>0.95</v>
      </c>
      <c r="AW30" s="107" t="s">
        <v>360</v>
      </c>
      <c r="AX30" s="114">
        <v>40</v>
      </c>
      <c r="AY30" s="114">
        <f t="shared" ref="AY30:AY31" si="32">AX30*BA30</f>
        <v>38</v>
      </c>
      <c r="AZ30" s="119">
        <v>15</v>
      </c>
      <c r="BA30" s="99">
        <v>0.95</v>
      </c>
      <c r="BB30" s="107" t="s">
        <v>360</v>
      </c>
      <c r="BC30" s="114">
        <v>40</v>
      </c>
      <c r="BD30" s="114">
        <f t="shared" ref="BD30:BD31" si="33">BC30*BF30</f>
        <v>38</v>
      </c>
      <c r="BE30" s="119">
        <v>15</v>
      </c>
      <c r="BF30" s="99">
        <v>0.95</v>
      </c>
      <c r="BG30" s="107" t="s">
        <v>360</v>
      </c>
      <c r="BH30" s="114">
        <v>40</v>
      </c>
      <c r="BI30" s="114">
        <f t="shared" ref="BI30:BI31" si="34">BH30*BK30</f>
        <v>38</v>
      </c>
      <c r="BJ30" s="119">
        <v>15</v>
      </c>
      <c r="BK30" s="99">
        <v>0.95</v>
      </c>
    </row>
    <row r="31" spans="2:63" ht="10" customHeight="1" x14ac:dyDescent="0.55000000000000004">
      <c r="B31" s="347"/>
      <c r="C31" s="91" t="s">
        <v>360</v>
      </c>
      <c r="D31" s="89" t="s">
        <v>348</v>
      </c>
      <c r="E31" s="91"/>
      <c r="F31" s="98">
        <v>0.95</v>
      </c>
      <c r="G31" s="91" t="s">
        <v>360</v>
      </c>
      <c r="H31" s="89" t="s">
        <v>348</v>
      </c>
      <c r="I31" s="91"/>
      <c r="J31" s="98">
        <v>0.95</v>
      </c>
      <c r="K31" s="91" t="s">
        <v>360</v>
      </c>
      <c r="L31" s="89" t="s">
        <v>348</v>
      </c>
      <c r="M31" s="91"/>
      <c r="N31" s="98">
        <v>0.95</v>
      </c>
      <c r="O31" s="91" t="s">
        <v>360</v>
      </c>
      <c r="P31" s="89" t="s">
        <v>348</v>
      </c>
      <c r="Q31" s="91"/>
      <c r="R31" s="98">
        <v>0.95</v>
      </c>
      <c r="S31" s="73" t="s">
        <v>396</v>
      </c>
      <c r="T31" s="112">
        <v>200</v>
      </c>
      <c r="U31" s="112">
        <f t="shared" si="28"/>
        <v>40</v>
      </c>
      <c r="V31" s="116">
        <v>20</v>
      </c>
      <c r="W31" s="98">
        <v>0.2</v>
      </c>
      <c r="X31" s="73" t="s">
        <v>396</v>
      </c>
      <c r="Y31" s="112">
        <v>200</v>
      </c>
      <c r="Z31" s="112">
        <f t="shared" si="29"/>
        <v>50</v>
      </c>
      <c r="AA31" s="116">
        <v>20</v>
      </c>
      <c r="AB31" s="98">
        <v>0.25</v>
      </c>
      <c r="AC31" s="73" t="s">
        <v>396</v>
      </c>
      <c r="AD31" s="112">
        <v>200</v>
      </c>
      <c r="AE31" s="112">
        <f t="shared" ref="AE31" si="35">ROUND(AD31*AG31,0)</f>
        <v>60</v>
      </c>
      <c r="AF31" s="116">
        <v>25</v>
      </c>
      <c r="AG31" s="98">
        <v>0.3</v>
      </c>
      <c r="AH31" s="73" t="s">
        <v>396</v>
      </c>
      <c r="AI31" s="112">
        <v>200</v>
      </c>
      <c r="AJ31" s="112">
        <f t="shared" ref="AJ31" si="36">ROUND(AI31*AL31,0)</f>
        <v>70</v>
      </c>
      <c r="AK31" s="116">
        <v>30</v>
      </c>
      <c r="AL31" s="98">
        <v>0.35</v>
      </c>
      <c r="AM31" s="73" t="s">
        <v>396</v>
      </c>
      <c r="AN31" s="112">
        <v>200</v>
      </c>
      <c r="AO31" s="112">
        <f t="shared" si="30"/>
        <v>80</v>
      </c>
      <c r="AP31" s="116">
        <v>30</v>
      </c>
      <c r="AQ31" s="98">
        <v>0.4</v>
      </c>
      <c r="AR31" s="73" t="s">
        <v>396</v>
      </c>
      <c r="AS31" s="112">
        <v>200</v>
      </c>
      <c r="AT31" s="112">
        <f t="shared" si="31"/>
        <v>90</v>
      </c>
      <c r="AU31" s="116">
        <v>30</v>
      </c>
      <c r="AV31" s="98">
        <v>0.45</v>
      </c>
      <c r="AW31" s="73" t="s">
        <v>396</v>
      </c>
      <c r="AX31" s="112">
        <v>200</v>
      </c>
      <c r="AY31" s="112">
        <f t="shared" si="32"/>
        <v>110.00000000000001</v>
      </c>
      <c r="AZ31" s="116">
        <v>35</v>
      </c>
      <c r="BA31" s="98">
        <v>0.55000000000000004</v>
      </c>
      <c r="BB31" s="73" t="s">
        <v>396</v>
      </c>
      <c r="BC31" s="112">
        <v>200</v>
      </c>
      <c r="BD31" s="112">
        <f t="shared" si="33"/>
        <v>120</v>
      </c>
      <c r="BE31" s="116">
        <v>40</v>
      </c>
      <c r="BF31" s="98">
        <v>0.6</v>
      </c>
      <c r="BG31" s="73" t="s">
        <v>396</v>
      </c>
      <c r="BH31" s="112">
        <v>200</v>
      </c>
      <c r="BI31" s="112">
        <f t="shared" si="34"/>
        <v>130</v>
      </c>
      <c r="BJ31" s="116">
        <v>40</v>
      </c>
      <c r="BK31" s="98">
        <v>0.65</v>
      </c>
    </row>
    <row r="32" spans="2:63" s="169" customFormat="1" ht="10" customHeight="1" x14ac:dyDescent="0.55000000000000004">
      <c r="B32" s="203"/>
      <c r="C32" s="198"/>
      <c r="D32" s="204"/>
      <c r="E32" s="198"/>
      <c r="F32" s="205"/>
      <c r="G32" s="198"/>
      <c r="H32" s="204"/>
      <c r="I32" s="198"/>
      <c r="J32" s="205"/>
      <c r="K32" s="198"/>
      <c r="L32" s="204"/>
      <c r="M32" s="198"/>
      <c r="N32" s="205"/>
      <c r="O32" s="198"/>
      <c r="P32" s="204"/>
      <c r="Q32" s="198"/>
      <c r="R32" s="205"/>
      <c r="S32" s="210">
        <f>COUNTA(S11:S31)</f>
        <v>20</v>
      </c>
      <c r="T32" s="211"/>
      <c r="U32" s="211"/>
      <c r="V32" s="212"/>
      <c r="W32" s="211"/>
      <c r="X32" s="210">
        <f>COUNTA(X11:X31)</f>
        <v>21</v>
      </c>
      <c r="Y32" s="211"/>
      <c r="Z32" s="211"/>
      <c r="AA32" s="212"/>
      <c r="AB32" s="211"/>
      <c r="AC32" s="210">
        <f>COUNTA(AC11:AC31)</f>
        <v>21</v>
      </c>
      <c r="AD32" s="211"/>
      <c r="AE32" s="211"/>
      <c r="AF32" s="212"/>
      <c r="AG32" s="211"/>
      <c r="AH32" s="213">
        <f>COUNTA(AH11:AH31)</f>
        <v>21</v>
      </c>
      <c r="AI32" s="211"/>
      <c r="AJ32" s="211"/>
      <c r="AK32" s="212"/>
      <c r="AL32" s="211"/>
      <c r="AM32" s="213">
        <f>COUNTA(AM11:AM31)</f>
        <v>21</v>
      </c>
      <c r="AN32" s="211"/>
      <c r="AO32" s="211"/>
      <c r="AP32" s="212"/>
      <c r="AQ32" s="211"/>
      <c r="AR32" s="213">
        <f>COUNTA(AR11:AR31)</f>
        <v>21</v>
      </c>
      <c r="AS32" s="211"/>
      <c r="AT32" s="211"/>
      <c r="AU32" s="212"/>
      <c r="AV32" s="211"/>
      <c r="AW32" s="213">
        <f>COUNTA(AW11:AW31)</f>
        <v>21</v>
      </c>
      <c r="AX32" s="211"/>
      <c r="AY32" s="211"/>
      <c r="AZ32" s="212"/>
      <c r="BA32" s="211"/>
      <c r="BB32" s="213">
        <f>COUNTA(BB11:BB31)</f>
        <v>21</v>
      </c>
      <c r="BC32" s="211"/>
      <c r="BD32" s="211"/>
      <c r="BE32" s="212"/>
      <c r="BF32" s="211"/>
      <c r="BG32" s="213">
        <f>COUNTA(BG11:BG31)</f>
        <v>21</v>
      </c>
      <c r="BH32" s="211"/>
      <c r="BI32" s="211"/>
      <c r="BJ32" s="212"/>
      <c r="BK32" s="211"/>
    </row>
    <row r="33" spans="1:64" ht="10" customHeight="1" x14ac:dyDescent="0.55000000000000004">
      <c r="B33" s="194"/>
      <c r="C33" s="195"/>
      <c r="D33" s="196"/>
      <c r="E33" s="195"/>
      <c r="F33" s="197"/>
      <c r="G33" s="195"/>
      <c r="H33" s="196"/>
      <c r="I33" s="195"/>
      <c r="J33" s="197"/>
      <c r="K33" s="195"/>
      <c r="L33" s="196"/>
      <c r="M33" s="195"/>
      <c r="N33" s="197"/>
      <c r="O33" s="195"/>
      <c r="P33" s="196"/>
      <c r="Q33" s="195"/>
      <c r="R33" s="197"/>
      <c r="S33" s="198"/>
      <c r="T33" s="199"/>
      <c r="U33" s="199"/>
      <c r="V33" s="200"/>
      <c r="W33" s="201"/>
      <c r="X33" s="198"/>
      <c r="Y33" s="199"/>
      <c r="Z33" s="199"/>
      <c r="AA33" s="200"/>
      <c r="AB33" s="201"/>
      <c r="AC33" s="198"/>
      <c r="AD33" s="199"/>
      <c r="AE33" s="199"/>
      <c r="AF33" s="200"/>
      <c r="AG33" s="201"/>
      <c r="AH33" s="198"/>
      <c r="AI33" s="199"/>
      <c r="AJ33" s="199"/>
      <c r="AK33" s="200"/>
      <c r="AL33" s="201"/>
      <c r="AM33" s="198"/>
      <c r="AN33" s="199"/>
      <c r="AO33" s="199"/>
      <c r="AP33" s="200"/>
      <c r="AQ33" s="201"/>
      <c r="AR33" s="198"/>
      <c r="AS33" s="199"/>
      <c r="AT33" s="199"/>
      <c r="AU33" s="200"/>
      <c r="AV33" s="201"/>
      <c r="AW33" s="198"/>
      <c r="AX33" s="199"/>
      <c r="AY33" s="199"/>
      <c r="AZ33" s="200"/>
      <c r="BA33" s="201"/>
      <c r="BB33" s="198"/>
      <c r="BC33" s="199"/>
      <c r="BD33" s="199"/>
      <c r="BE33" s="200"/>
      <c r="BF33" s="201"/>
      <c r="BG33" s="201"/>
      <c r="BH33" s="201"/>
      <c r="BI33" s="201"/>
      <c r="BJ33" s="201"/>
      <c r="BK33" s="201"/>
    </row>
    <row r="34" spans="1:64" ht="10" customHeight="1" x14ac:dyDescent="0.55000000000000004">
      <c r="B34" s="345" t="s">
        <v>391</v>
      </c>
      <c r="C34" s="195"/>
      <c r="D34" s="196"/>
      <c r="E34" s="195"/>
      <c r="F34" s="197"/>
      <c r="G34" s="195"/>
      <c r="H34" s="196"/>
      <c r="I34" s="195"/>
      <c r="J34" s="197"/>
      <c r="K34" s="195"/>
      <c r="L34" s="196"/>
      <c r="M34" s="195"/>
      <c r="N34" s="197"/>
      <c r="O34" s="195"/>
      <c r="P34" s="196"/>
      <c r="Q34" s="195"/>
      <c r="R34" s="197"/>
      <c r="S34" s="73" t="s">
        <v>165</v>
      </c>
      <c r="T34" s="112">
        <v>165</v>
      </c>
      <c r="U34" s="112">
        <f t="shared" ref="U34:U40" si="37">ROUND(T34*W34,0)</f>
        <v>33</v>
      </c>
      <c r="V34" s="116">
        <v>16</v>
      </c>
      <c r="W34" s="98">
        <v>0.2</v>
      </c>
      <c r="X34" s="73" t="s">
        <v>165</v>
      </c>
      <c r="Y34" s="112">
        <v>165</v>
      </c>
      <c r="Z34" s="112">
        <f t="shared" ref="Z34:Z40" si="38">Y34*AB34</f>
        <v>41.25</v>
      </c>
      <c r="AA34" s="116">
        <v>16</v>
      </c>
      <c r="AB34" s="98">
        <v>0.25</v>
      </c>
      <c r="AC34" s="73" t="s">
        <v>165</v>
      </c>
      <c r="AD34" s="112">
        <v>165</v>
      </c>
      <c r="AE34" s="112">
        <f t="shared" ref="AE34:AE41" si="39">ROUND(AD34*AG34,0)</f>
        <v>50</v>
      </c>
      <c r="AF34" s="116">
        <v>16</v>
      </c>
      <c r="AG34" s="98">
        <v>0.3</v>
      </c>
      <c r="AH34" s="73" t="s">
        <v>165</v>
      </c>
      <c r="AI34" s="112">
        <v>165</v>
      </c>
      <c r="AJ34" s="112">
        <f>ROUND(AI34*AL34,0)</f>
        <v>58</v>
      </c>
      <c r="AK34" s="116">
        <v>16</v>
      </c>
      <c r="AL34" s="98">
        <v>0.35</v>
      </c>
      <c r="AM34" s="73" t="s">
        <v>165</v>
      </c>
      <c r="AN34" s="112">
        <v>165</v>
      </c>
      <c r="AO34" s="112">
        <f>ROUND(AN34*AQ34,0)</f>
        <v>66</v>
      </c>
      <c r="AP34" s="116">
        <v>16</v>
      </c>
      <c r="AQ34" s="98">
        <v>0.4</v>
      </c>
      <c r="AR34" s="145"/>
      <c r="AS34" s="145"/>
      <c r="AT34" s="145"/>
      <c r="AU34" s="145"/>
      <c r="AV34" s="145"/>
      <c r="AW34" s="48"/>
      <c r="AX34" s="145"/>
      <c r="AY34" s="145"/>
      <c r="AZ34" s="145"/>
      <c r="BA34" s="145"/>
      <c r="BB34" s="145"/>
      <c r="BC34" s="145"/>
      <c r="BD34" s="145"/>
      <c r="BE34" s="145"/>
      <c r="BF34" s="147"/>
      <c r="BG34" s="48"/>
      <c r="BH34" s="145"/>
      <c r="BI34" s="145"/>
      <c r="BJ34" s="145"/>
      <c r="BK34" s="147"/>
    </row>
    <row r="35" spans="1:64" ht="10" customHeight="1" x14ac:dyDescent="0.55000000000000004">
      <c r="B35" s="346"/>
      <c r="C35" s="195"/>
      <c r="D35" s="196"/>
      <c r="E35" s="195"/>
      <c r="F35" s="197"/>
      <c r="G35" s="195"/>
      <c r="H35" s="196"/>
      <c r="I35" s="195"/>
      <c r="J35" s="197"/>
      <c r="K35" s="195"/>
      <c r="L35" s="196"/>
      <c r="M35" s="195"/>
      <c r="N35" s="197"/>
      <c r="O35" s="195"/>
      <c r="P35" s="196"/>
      <c r="Q35" s="195"/>
      <c r="R35" s="197"/>
      <c r="S35" s="107" t="s">
        <v>162</v>
      </c>
      <c r="T35" s="114">
        <v>200</v>
      </c>
      <c r="U35" s="114">
        <f t="shared" si="37"/>
        <v>40</v>
      </c>
      <c r="V35" s="119">
        <v>5</v>
      </c>
      <c r="W35" s="99">
        <v>0.2</v>
      </c>
      <c r="X35" s="107" t="s">
        <v>162</v>
      </c>
      <c r="Y35" s="114">
        <v>200</v>
      </c>
      <c r="Z35" s="114">
        <f t="shared" si="38"/>
        <v>60</v>
      </c>
      <c r="AA35" s="119">
        <v>5</v>
      </c>
      <c r="AB35" s="99">
        <v>0.3</v>
      </c>
      <c r="AC35" s="107" t="s">
        <v>162</v>
      </c>
      <c r="AD35" s="114">
        <v>150</v>
      </c>
      <c r="AE35" s="114">
        <f t="shared" si="39"/>
        <v>60</v>
      </c>
      <c r="AF35" s="119">
        <v>5</v>
      </c>
      <c r="AG35" s="99">
        <v>0.4</v>
      </c>
      <c r="AH35" s="107" t="s">
        <v>162</v>
      </c>
      <c r="AI35" s="114">
        <v>150</v>
      </c>
      <c r="AJ35" s="114">
        <f>ROUND(AI35*AL35,0)</f>
        <v>75</v>
      </c>
      <c r="AK35" s="119">
        <v>5</v>
      </c>
      <c r="AL35" s="99">
        <v>0.5</v>
      </c>
      <c r="AM35" s="56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</row>
    <row r="36" spans="1:64" ht="10" customHeight="1" x14ac:dyDescent="0.55000000000000004">
      <c r="B36" s="346"/>
      <c r="C36" s="195"/>
      <c r="D36" s="196"/>
      <c r="E36" s="195"/>
      <c r="F36" s="197"/>
      <c r="G36" s="195"/>
      <c r="H36" s="196"/>
      <c r="I36" s="195"/>
      <c r="J36" s="197"/>
      <c r="K36" s="195"/>
      <c r="L36" s="196"/>
      <c r="M36" s="195"/>
      <c r="N36" s="197"/>
      <c r="O36" s="195"/>
      <c r="P36" s="196"/>
      <c r="Q36" s="195"/>
      <c r="R36" s="197"/>
      <c r="S36" s="73" t="s">
        <v>163</v>
      </c>
      <c r="T36" s="112">
        <v>200</v>
      </c>
      <c r="U36" s="112">
        <f t="shared" si="37"/>
        <v>70</v>
      </c>
      <c r="V36" s="116">
        <v>30</v>
      </c>
      <c r="W36" s="98">
        <v>0.35</v>
      </c>
      <c r="X36" s="73" t="s">
        <v>163</v>
      </c>
      <c r="Y36" s="112">
        <v>200</v>
      </c>
      <c r="Z36" s="112">
        <f t="shared" si="38"/>
        <v>80</v>
      </c>
      <c r="AA36" s="116">
        <v>30</v>
      </c>
      <c r="AB36" s="98">
        <v>0.4</v>
      </c>
      <c r="AC36" s="73" t="s">
        <v>163</v>
      </c>
      <c r="AD36" s="112">
        <v>200</v>
      </c>
      <c r="AE36" s="112">
        <f t="shared" si="39"/>
        <v>90</v>
      </c>
      <c r="AF36" s="116">
        <v>30</v>
      </c>
      <c r="AG36" s="98">
        <v>0.45</v>
      </c>
      <c r="AH36" s="56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</row>
    <row r="37" spans="1:64" ht="10" customHeight="1" x14ac:dyDescent="0.55000000000000004">
      <c r="B37" s="346"/>
      <c r="C37" s="195"/>
      <c r="D37" s="196"/>
      <c r="E37" s="195"/>
      <c r="F37" s="197"/>
      <c r="G37" s="195"/>
      <c r="H37" s="196"/>
      <c r="I37" s="195"/>
      <c r="J37" s="197"/>
      <c r="K37" s="195"/>
      <c r="L37" s="196"/>
      <c r="M37" s="195"/>
      <c r="N37" s="197"/>
      <c r="O37" s="195"/>
      <c r="P37" s="196"/>
      <c r="Q37" s="195"/>
      <c r="R37" s="197"/>
      <c r="S37" s="107" t="s">
        <v>161</v>
      </c>
      <c r="T37" s="114">
        <v>165</v>
      </c>
      <c r="U37" s="114">
        <f t="shared" si="37"/>
        <v>50</v>
      </c>
      <c r="V37" s="119">
        <v>5</v>
      </c>
      <c r="W37" s="99">
        <v>0.3</v>
      </c>
      <c r="X37" s="107" t="s">
        <v>161</v>
      </c>
      <c r="Y37" s="114">
        <v>165</v>
      </c>
      <c r="Z37" s="114">
        <f t="shared" si="38"/>
        <v>66</v>
      </c>
      <c r="AA37" s="119">
        <v>5</v>
      </c>
      <c r="AB37" s="99">
        <v>0.4</v>
      </c>
      <c r="AC37" s="107" t="s">
        <v>161</v>
      </c>
      <c r="AD37" s="114">
        <v>165</v>
      </c>
      <c r="AE37" s="114">
        <f t="shared" si="39"/>
        <v>83</v>
      </c>
      <c r="AF37" s="119">
        <v>5</v>
      </c>
      <c r="AG37" s="99">
        <v>0.5</v>
      </c>
      <c r="AH37" s="56"/>
      <c r="AI37" s="145"/>
      <c r="AJ37" s="145"/>
      <c r="AK37" s="145"/>
      <c r="AL37" s="145"/>
      <c r="AM37" s="56"/>
      <c r="AN37" s="145"/>
      <c r="AO37" s="145"/>
      <c r="AP37" s="145"/>
      <c r="AQ37" s="145"/>
      <c r="AR37" s="56"/>
      <c r="AS37" s="145"/>
      <c r="AT37" s="145"/>
      <c r="AU37" s="145"/>
      <c r="AV37" s="145"/>
      <c r="AW37" s="56"/>
      <c r="AX37" s="145"/>
      <c r="AY37" s="145"/>
      <c r="AZ37" s="145"/>
      <c r="BA37" s="145"/>
      <c r="BB37" s="56"/>
      <c r="BC37" s="145"/>
      <c r="BD37" s="145"/>
      <c r="BE37" s="145"/>
      <c r="BF37" s="145"/>
      <c r="BG37" s="145"/>
      <c r="BH37" s="145"/>
      <c r="BI37" s="145"/>
      <c r="BJ37" s="145"/>
      <c r="BK37" s="145"/>
    </row>
    <row r="38" spans="1:64" ht="10" customHeight="1" x14ac:dyDescent="0.55000000000000004">
      <c r="B38" s="346"/>
      <c r="C38" s="195"/>
      <c r="D38" s="196"/>
      <c r="E38" s="195"/>
      <c r="F38" s="197"/>
      <c r="G38" s="195"/>
      <c r="H38" s="196"/>
      <c r="I38" s="195"/>
      <c r="J38" s="197"/>
      <c r="K38" s="195"/>
      <c r="L38" s="196"/>
      <c r="M38" s="195"/>
      <c r="N38" s="197"/>
      <c r="O38" s="195"/>
      <c r="P38" s="196"/>
      <c r="Q38" s="195"/>
      <c r="R38" s="197"/>
      <c r="S38" s="91" t="s">
        <v>164</v>
      </c>
      <c r="T38" s="112">
        <v>200</v>
      </c>
      <c r="U38" s="112">
        <f t="shared" si="37"/>
        <v>120</v>
      </c>
      <c r="V38" s="120">
        <v>14</v>
      </c>
      <c r="W38" s="98">
        <v>0.6</v>
      </c>
      <c r="X38" s="91" t="s">
        <v>164</v>
      </c>
      <c r="Y38" s="112">
        <v>200</v>
      </c>
      <c r="Z38" s="112">
        <f t="shared" si="38"/>
        <v>50</v>
      </c>
      <c r="AA38" s="120">
        <v>15</v>
      </c>
      <c r="AB38" s="98">
        <v>0.25</v>
      </c>
      <c r="AC38" s="91" t="s">
        <v>164</v>
      </c>
      <c r="AD38" s="112">
        <v>200</v>
      </c>
      <c r="AE38" s="112">
        <f t="shared" si="39"/>
        <v>60</v>
      </c>
      <c r="AF38" s="120">
        <v>15</v>
      </c>
      <c r="AG38" s="98">
        <v>0.3</v>
      </c>
      <c r="AH38" s="91" t="s">
        <v>164</v>
      </c>
      <c r="AI38" s="112">
        <v>200</v>
      </c>
      <c r="AJ38" s="112">
        <f>ROUND(AI38*AL38,0)</f>
        <v>50</v>
      </c>
      <c r="AK38" s="120">
        <v>15</v>
      </c>
      <c r="AL38" s="98">
        <v>0.25</v>
      </c>
      <c r="AM38" s="56"/>
      <c r="AN38" s="145"/>
      <c r="AO38" s="145"/>
      <c r="AP38" s="145"/>
      <c r="AQ38" s="145"/>
      <c r="AR38" s="56"/>
      <c r="AS38" s="145"/>
      <c r="AT38" s="145"/>
      <c r="AU38" s="145"/>
      <c r="AV38" s="145"/>
      <c r="AW38" s="56"/>
      <c r="AX38" s="145"/>
      <c r="AY38" s="145"/>
      <c r="AZ38" s="145"/>
      <c r="BA38" s="145"/>
      <c r="BB38" s="56"/>
      <c r="BC38" s="145"/>
      <c r="BD38" s="145"/>
      <c r="BE38" s="145"/>
      <c r="BF38" s="145"/>
      <c r="BG38" s="145"/>
      <c r="BH38" s="145"/>
      <c r="BI38" s="145"/>
      <c r="BJ38" s="145"/>
      <c r="BK38" s="145"/>
    </row>
    <row r="39" spans="1:64" ht="10" customHeight="1" x14ac:dyDescent="0.55000000000000004">
      <c r="B39" s="346"/>
      <c r="C39" s="195"/>
      <c r="D39" s="196"/>
      <c r="E39" s="195"/>
      <c r="F39" s="197"/>
      <c r="G39" s="195"/>
      <c r="H39" s="196"/>
      <c r="I39" s="195"/>
      <c r="J39" s="197"/>
      <c r="K39" s="195"/>
      <c r="L39" s="196"/>
      <c r="M39" s="195"/>
      <c r="N39" s="197"/>
      <c r="O39" s="195"/>
      <c r="P39" s="196"/>
      <c r="Q39" s="195"/>
      <c r="R39" s="197"/>
      <c r="S39" s="107" t="s">
        <v>166</v>
      </c>
      <c r="T39" s="114">
        <v>100</v>
      </c>
      <c r="U39" s="114">
        <f t="shared" si="37"/>
        <v>0</v>
      </c>
      <c r="V39" s="119">
        <v>0</v>
      </c>
      <c r="W39" s="131">
        <v>0</v>
      </c>
      <c r="X39" s="107" t="s">
        <v>166</v>
      </c>
      <c r="Y39" s="114">
        <v>100</v>
      </c>
      <c r="Z39" s="114">
        <f t="shared" si="38"/>
        <v>10</v>
      </c>
      <c r="AA39" s="119">
        <v>0</v>
      </c>
      <c r="AB39" s="131">
        <v>0.1</v>
      </c>
      <c r="AC39" s="107" t="s">
        <v>166</v>
      </c>
      <c r="AD39" s="114">
        <v>200</v>
      </c>
      <c r="AE39" s="114">
        <f t="shared" si="39"/>
        <v>30</v>
      </c>
      <c r="AF39" s="119">
        <v>0</v>
      </c>
      <c r="AG39" s="131">
        <v>0.15</v>
      </c>
      <c r="AH39" s="107" t="s">
        <v>166</v>
      </c>
      <c r="AI39" s="114">
        <v>200</v>
      </c>
      <c r="AJ39" s="114">
        <f>ROUND(AI39*AL39,0)</f>
        <v>40</v>
      </c>
      <c r="AK39" s="119">
        <v>5</v>
      </c>
      <c r="AL39" s="131">
        <v>0.2</v>
      </c>
      <c r="AM39" s="107" t="s">
        <v>166</v>
      </c>
      <c r="AN39" s="114">
        <v>200</v>
      </c>
      <c r="AO39" s="114">
        <f>ROUND(AN39*AQ39,0)</f>
        <v>50</v>
      </c>
      <c r="AP39" s="119">
        <v>5</v>
      </c>
      <c r="AQ39" s="131">
        <v>0.25</v>
      </c>
      <c r="AR39" s="107" t="s">
        <v>166</v>
      </c>
      <c r="AS39" s="114">
        <v>200</v>
      </c>
      <c r="AT39" s="114">
        <f>ROUND(AS39*AV39,0)</f>
        <v>60</v>
      </c>
      <c r="AU39" s="119">
        <v>10</v>
      </c>
      <c r="AV39" s="131">
        <v>0.3</v>
      </c>
      <c r="AW39" s="107" t="s">
        <v>166</v>
      </c>
      <c r="AX39" s="114">
        <v>200</v>
      </c>
      <c r="AY39" s="114">
        <f>AX39*BA39</f>
        <v>70</v>
      </c>
      <c r="AZ39" s="119">
        <v>10</v>
      </c>
      <c r="BA39" s="131">
        <v>0.35</v>
      </c>
      <c r="BB39" s="107" t="s">
        <v>166</v>
      </c>
      <c r="BC39" s="114">
        <v>200</v>
      </c>
      <c r="BD39" s="114">
        <f>BC39*BF39</f>
        <v>80</v>
      </c>
      <c r="BE39" s="119">
        <v>10</v>
      </c>
      <c r="BF39" s="131">
        <v>0.4</v>
      </c>
      <c r="BG39" s="145"/>
      <c r="BH39" s="145"/>
      <c r="BI39" s="145"/>
      <c r="BJ39" s="145"/>
      <c r="BK39" s="145"/>
    </row>
    <row r="40" spans="1:64" ht="10" customHeight="1" x14ac:dyDescent="0.55000000000000004">
      <c r="B40" s="346"/>
      <c r="C40" s="195"/>
      <c r="D40" s="196"/>
      <c r="E40" s="195"/>
      <c r="F40" s="197"/>
      <c r="G40" s="195"/>
      <c r="H40" s="196"/>
      <c r="I40" s="195"/>
      <c r="J40" s="197"/>
      <c r="K40" s="195"/>
      <c r="L40" s="196"/>
      <c r="M40" s="195"/>
      <c r="N40" s="197"/>
      <c r="O40" s="195"/>
      <c r="P40" s="196"/>
      <c r="Q40" s="195"/>
      <c r="R40" s="197"/>
      <c r="S40" s="91" t="s">
        <v>167</v>
      </c>
      <c r="T40" s="112">
        <v>100</v>
      </c>
      <c r="U40" s="112">
        <f t="shared" si="37"/>
        <v>0</v>
      </c>
      <c r="V40" s="120">
        <v>0</v>
      </c>
      <c r="W40" s="109">
        <v>0</v>
      </c>
      <c r="X40" s="91" t="s">
        <v>167</v>
      </c>
      <c r="Y40" s="112">
        <v>100</v>
      </c>
      <c r="Z40" s="112">
        <f t="shared" si="38"/>
        <v>10</v>
      </c>
      <c r="AA40" s="120">
        <v>0</v>
      </c>
      <c r="AB40" s="109">
        <v>0.1</v>
      </c>
      <c r="AC40" s="91" t="s">
        <v>167</v>
      </c>
      <c r="AD40" s="112">
        <v>200</v>
      </c>
      <c r="AE40" s="112">
        <f t="shared" si="39"/>
        <v>30</v>
      </c>
      <c r="AF40" s="120">
        <v>0</v>
      </c>
      <c r="AG40" s="109">
        <v>0.15</v>
      </c>
      <c r="AH40" s="91" t="s">
        <v>167</v>
      </c>
      <c r="AI40" s="112">
        <v>200</v>
      </c>
      <c r="AJ40" s="112">
        <f>ROUND(AI40*AL40,0)</f>
        <v>40</v>
      </c>
      <c r="AK40" s="120">
        <v>5</v>
      </c>
      <c r="AL40" s="109">
        <v>0.2</v>
      </c>
      <c r="AM40" s="91" t="s">
        <v>167</v>
      </c>
      <c r="AN40" s="112">
        <v>200</v>
      </c>
      <c r="AO40" s="112">
        <f>ROUND(AN40*AQ40,0)</f>
        <v>50</v>
      </c>
      <c r="AP40" s="120">
        <v>5</v>
      </c>
      <c r="AQ40" s="109">
        <v>0.25</v>
      </c>
      <c r="AR40" s="91" t="s">
        <v>167</v>
      </c>
      <c r="AS40" s="112">
        <v>200</v>
      </c>
      <c r="AT40" s="112">
        <f>ROUND(AS40*AV40,0)</f>
        <v>60</v>
      </c>
      <c r="AU40" s="120">
        <v>10</v>
      </c>
      <c r="AV40" s="109">
        <v>0.3</v>
      </c>
      <c r="AW40" s="91" t="s">
        <v>167</v>
      </c>
      <c r="AX40" s="112">
        <v>200</v>
      </c>
      <c r="AY40" s="112">
        <f>AX40*BA40</f>
        <v>70</v>
      </c>
      <c r="AZ40" s="120">
        <v>10</v>
      </c>
      <c r="BA40" s="109">
        <v>0.35</v>
      </c>
      <c r="BB40" s="91" t="s">
        <v>167</v>
      </c>
      <c r="BC40" s="112">
        <v>200</v>
      </c>
      <c r="BD40" s="112">
        <f>BC40*BF40</f>
        <v>80</v>
      </c>
      <c r="BE40" s="120">
        <v>10</v>
      </c>
      <c r="BF40" s="109">
        <v>0.4</v>
      </c>
      <c r="BG40" s="145"/>
      <c r="BH40" s="145"/>
      <c r="BI40" s="145"/>
      <c r="BJ40" s="145"/>
      <c r="BK40" s="145"/>
    </row>
    <row r="41" spans="1:64" ht="10" customHeight="1" x14ac:dyDescent="0.55000000000000004">
      <c r="B41" s="346"/>
      <c r="C41" s="195"/>
      <c r="D41" s="196"/>
      <c r="E41" s="195"/>
      <c r="F41" s="197"/>
      <c r="G41" s="195"/>
      <c r="H41" s="196"/>
      <c r="I41" s="195"/>
      <c r="J41" s="197"/>
      <c r="K41" s="195"/>
      <c r="L41" s="196"/>
      <c r="M41" s="195"/>
      <c r="N41" s="197"/>
      <c r="O41" s="195"/>
      <c r="P41" s="196"/>
      <c r="Q41" s="195"/>
      <c r="R41" s="197"/>
      <c r="S41" s="56"/>
      <c r="T41" s="145"/>
      <c r="U41" s="145"/>
      <c r="V41" s="145"/>
      <c r="W41" s="145"/>
      <c r="X41" s="145"/>
      <c r="Y41" s="145"/>
      <c r="Z41" s="145"/>
      <c r="AA41" s="145"/>
      <c r="AB41" s="145"/>
      <c r="AC41" s="107" t="s">
        <v>401</v>
      </c>
      <c r="AD41" s="114">
        <v>100</v>
      </c>
      <c r="AE41" s="114">
        <f t="shared" si="39"/>
        <v>0</v>
      </c>
      <c r="AF41" s="119">
        <v>0</v>
      </c>
      <c r="AG41" s="131">
        <v>0</v>
      </c>
      <c r="AH41" s="107" t="s">
        <v>401</v>
      </c>
      <c r="AI41" s="114">
        <v>100</v>
      </c>
      <c r="AJ41" s="114">
        <f t="shared" ref="AJ41" si="40">AI41*AL41</f>
        <v>10</v>
      </c>
      <c r="AK41" s="119">
        <v>0</v>
      </c>
      <c r="AL41" s="131">
        <v>0.1</v>
      </c>
      <c r="AM41" s="107" t="s">
        <v>401</v>
      </c>
      <c r="AN41" s="114">
        <v>200</v>
      </c>
      <c r="AO41" s="114">
        <f t="shared" ref="AO41" si="41">ROUND(AN41*AQ41,0)</f>
        <v>30</v>
      </c>
      <c r="AP41" s="119">
        <v>0</v>
      </c>
      <c r="AQ41" s="131">
        <v>0.15</v>
      </c>
      <c r="AR41" s="107" t="s">
        <v>401</v>
      </c>
      <c r="AS41" s="114">
        <v>200</v>
      </c>
      <c r="AT41" s="114">
        <f>ROUND(AS41*AV41,0)</f>
        <v>40</v>
      </c>
      <c r="AU41" s="119">
        <v>5</v>
      </c>
      <c r="AV41" s="131">
        <v>0.2</v>
      </c>
      <c r="AW41" s="107" t="s">
        <v>401</v>
      </c>
      <c r="AX41" s="114">
        <v>200</v>
      </c>
      <c r="AY41" s="114">
        <f>ROUND(AX41*BA41,0)</f>
        <v>50</v>
      </c>
      <c r="AZ41" s="119">
        <v>5</v>
      </c>
      <c r="BA41" s="131">
        <v>0.25</v>
      </c>
      <c r="BB41" s="107" t="s">
        <v>401</v>
      </c>
      <c r="BC41" s="114">
        <v>200</v>
      </c>
      <c r="BD41" s="114">
        <f>ROUND(BC41*BF41,0)</f>
        <v>60</v>
      </c>
      <c r="BE41" s="119">
        <v>5</v>
      </c>
      <c r="BF41" s="131">
        <v>0.3</v>
      </c>
      <c r="BG41" s="107" t="s">
        <v>401</v>
      </c>
      <c r="BH41" s="114">
        <v>200</v>
      </c>
      <c r="BI41" s="114">
        <f>ROUND(BH41*BK41,0)</f>
        <v>70</v>
      </c>
      <c r="BJ41" s="119">
        <v>5</v>
      </c>
      <c r="BK41" s="131">
        <v>0.35</v>
      </c>
    </row>
    <row r="42" spans="1:64" ht="10" customHeight="1" x14ac:dyDescent="0.55000000000000004">
      <c r="B42" s="347"/>
      <c r="C42" s="195"/>
      <c r="D42" s="196"/>
      <c r="E42" s="195"/>
      <c r="F42" s="197"/>
      <c r="G42" s="195"/>
      <c r="H42" s="196"/>
      <c r="I42" s="195"/>
      <c r="J42" s="197"/>
      <c r="K42" s="195"/>
      <c r="L42" s="196"/>
      <c r="M42" s="195"/>
      <c r="N42" s="197"/>
      <c r="O42" s="195"/>
      <c r="P42" s="196"/>
      <c r="Q42" s="195"/>
      <c r="R42" s="197"/>
      <c r="S42" s="56"/>
      <c r="T42" s="221"/>
      <c r="U42" s="221"/>
      <c r="V42" s="221"/>
      <c r="W42" s="221"/>
      <c r="X42" s="145"/>
      <c r="Y42" s="221"/>
      <c r="Z42" s="221"/>
      <c r="AA42" s="221"/>
      <c r="AB42" s="221"/>
      <c r="AC42" s="145"/>
      <c r="AD42" s="221"/>
      <c r="AE42" s="221"/>
      <c r="AF42" s="221"/>
      <c r="AG42" s="221"/>
      <c r="AH42" s="145"/>
      <c r="AI42" s="221"/>
      <c r="AJ42" s="221"/>
      <c r="AK42" s="221"/>
      <c r="AL42" s="221"/>
      <c r="AM42" s="145"/>
      <c r="AN42" s="221"/>
      <c r="AO42" s="221"/>
      <c r="AP42" s="221"/>
      <c r="AQ42" s="221"/>
      <c r="AR42" s="107" t="s">
        <v>319</v>
      </c>
      <c r="AS42" s="114">
        <v>100</v>
      </c>
      <c r="AT42" s="114">
        <f t="shared" ref="AT42" si="42">ROUND(AS42*AV42,0)</f>
        <v>0</v>
      </c>
      <c r="AU42" s="119">
        <v>0</v>
      </c>
      <c r="AV42" s="131">
        <v>0</v>
      </c>
      <c r="AW42" s="107" t="s">
        <v>319</v>
      </c>
      <c r="AX42" s="114">
        <v>100</v>
      </c>
      <c r="AY42" s="114">
        <f t="shared" ref="AY42" si="43">AX42*BA42</f>
        <v>10</v>
      </c>
      <c r="AZ42" s="119">
        <v>0</v>
      </c>
      <c r="BA42" s="131">
        <v>0.1</v>
      </c>
      <c r="BB42" s="107" t="s">
        <v>319</v>
      </c>
      <c r="BC42" s="114">
        <v>200</v>
      </c>
      <c r="BD42" s="114">
        <f t="shared" ref="BD42" si="44">ROUND(BC42*BF42,0)</f>
        <v>30</v>
      </c>
      <c r="BE42" s="119">
        <v>0</v>
      </c>
      <c r="BF42" s="131">
        <v>0.15</v>
      </c>
      <c r="BG42" s="107" t="s">
        <v>319</v>
      </c>
      <c r="BH42" s="114">
        <v>200</v>
      </c>
      <c r="BI42" s="114">
        <f>ROUND(BH42*BK42,0)</f>
        <v>40</v>
      </c>
      <c r="BJ42" s="119">
        <v>5</v>
      </c>
      <c r="BK42" s="131">
        <v>0.2</v>
      </c>
    </row>
    <row r="43" spans="1:64" ht="10" customHeight="1" x14ac:dyDescent="0.55000000000000004">
      <c r="B43" s="206" t="s">
        <v>403</v>
      </c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57">
        <f>COUNTA(S34:S41)*0.33</f>
        <v>2.31</v>
      </c>
      <c r="T43" s="199"/>
      <c r="U43" s="199"/>
      <c r="V43" s="200"/>
      <c r="W43" s="205"/>
      <c r="X43" s="157">
        <f>COUNTA(X34:X41)*0.33</f>
        <v>2.31</v>
      </c>
      <c r="Y43" s="199"/>
      <c r="Z43" s="199"/>
      <c r="AA43" s="200"/>
      <c r="AB43" s="205"/>
      <c r="AC43" s="157">
        <f>COUNTA(AC34:AC41)*0.33</f>
        <v>2.64</v>
      </c>
      <c r="AD43" s="199"/>
      <c r="AE43" s="199"/>
      <c r="AF43" s="200"/>
      <c r="AG43" s="205"/>
      <c r="AH43" s="157">
        <f>COUNTA(AH34:AH41)*0.33</f>
        <v>1.98</v>
      </c>
      <c r="AI43" s="199"/>
      <c r="AJ43" s="199"/>
      <c r="AK43" s="200"/>
      <c r="AL43" s="205"/>
      <c r="AM43" s="157">
        <f>COUNTA(AM34:AM41)*0.33</f>
        <v>1.32</v>
      </c>
      <c r="AN43" s="199"/>
      <c r="AO43" s="199"/>
      <c r="AP43" s="200"/>
      <c r="AQ43" s="205"/>
      <c r="AR43" s="157">
        <f>COUNTA(AR34:AR42)*0.33</f>
        <v>1.32</v>
      </c>
      <c r="AS43" s="199"/>
      <c r="AT43" s="199"/>
      <c r="AU43" s="200"/>
      <c r="AV43" s="205"/>
      <c r="AW43" s="157">
        <f>COUNTA(AW34:AW42)*0.33</f>
        <v>1.32</v>
      </c>
      <c r="AX43" s="199"/>
      <c r="AY43" s="199"/>
      <c r="AZ43" s="200"/>
      <c r="BA43" s="205"/>
      <c r="BB43" s="157">
        <f>COUNTA(BB34:BB42)*0.33</f>
        <v>1.32</v>
      </c>
      <c r="BC43" s="199"/>
      <c r="BD43" s="199"/>
      <c r="BE43" s="200"/>
      <c r="BF43" s="205"/>
      <c r="BG43" s="157">
        <f>COUNTA(BG34:BG42)*0.33</f>
        <v>0.66</v>
      </c>
      <c r="BH43" s="199"/>
      <c r="BI43" s="199"/>
      <c r="BJ43" s="200"/>
      <c r="BK43" s="205"/>
      <c r="BL43" s="194"/>
    </row>
    <row r="44" spans="1:64" ht="10" customHeight="1" x14ac:dyDescent="0.55000000000000004"/>
    <row r="45" spans="1:64" ht="10" customHeight="1" x14ac:dyDescent="0.55000000000000004">
      <c r="A45" s="88"/>
      <c r="B45" s="94"/>
      <c r="G45" s="361" t="s">
        <v>5</v>
      </c>
      <c r="H45" s="286"/>
      <c r="I45" s="286"/>
      <c r="J45" s="287"/>
      <c r="K45" s="361" t="s">
        <v>6</v>
      </c>
      <c r="L45" s="286"/>
      <c r="M45" s="286"/>
      <c r="N45" s="287"/>
      <c r="O45" s="103"/>
      <c r="P45" s="103"/>
      <c r="Q45" s="361" t="s">
        <v>7</v>
      </c>
      <c r="R45" s="287"/>
      <c r="S45" s="352" t="s">
        <v>8</v>
      </c>
      <c r="T45" s="353"/>
      <c r="U45" s="353"/>
      <c r="V45" s="353"/>
      <c r="W45" s="353"/>
      <c r="X45" s="352" t="s">
        <v>10</v>
      </c>
      <c r="Y45" s="353"/>
      <c r="Z45" s="353"/>
      <c r="AA45" s="353"/>
      <c r="AB45" s="354"/>
      <c r="AC45" s="352" t="s">
        <v>11</v>
      </c>
      <c r="AD45" s="353"/>
      <c r="AE45" s="353"/>
      <c r="AF45" s="353"/>
      <c r="AG45" s="354"/>
      <c r="AH45" s="352" t="s">
        <v>12</v>
      </c>
      <c r="AI45" s="353"/>
      <c r="AJ45" s="353"/>
      <c r="AK45" s="353"/>
      <c r="AL45" s="354"/>
      <c r="AM45" s="352" t="s">
        <v>13</v>
      </c>
      <c r="AN45" s="353"/>
      <c r="AO45" s="353"/>
      <c r="AP45" s="353"/>
      <c r="AQ45" s="354"/>
      <c r="AR45" s="352" t="s">
        <v>14</v>
      </c>
      <c r="AS45" s="353"/>
      <c r="AT45" s="353"/>
      <c r="AU45" s="353"/>
      <c r="AV45" s="354"/>
      <c r="AW45" s="352" t="s">
        <v>15</v>
      </c>
      <c r="AX45" s="353"/>
      <c r="AY45" s="353"/>
      <c r="AZ45" s="353"/>
      <c r="BA45" s="354"/>
      <c r="BB45" s="352" t="s">
        <v>16</v>
      </c>
      <c r="BC45" s="353"/>
      <c r="BD45" s="353"/>
      <c r="BE45" s="353"/>
      <c r="BF45" s="354"/>
      <c r="BG45" s="352" t="s">
        <v>4</v>
      </c>
      <c r="BH45" s="353"/>
      <c r="BI45" s="353"/>
      <c r="BJ45" s="353"/>
      <c r="BK45" s="354"/>
    </row>
    <row r="46" spans="1:64" ht="10" customHeight="1" x14ac:dyDescent="0.55000000000000004">
      <c r="A46" s="88"/>
      <c r="B46" s="94"/>
      <c r="G46" s="358">
        <f>COUNTA(G11:G44)</f>
        <v>16</v>
      </c>
      <c r="H46" s="359"/>
      <c r="I46" s="359"/>
      <c r="J46" s="360"/>
      <c r="K46" s="358">
        <f>COUNTA(K11:K44)</f>
        <v>16</v>
      </c>
      <c r="L46" s="359"/>
      <c r="M46" s="359"/>
      <c r="N46" s="360"/>
      <c r="O46" s="104"/>
      <c r="P46" s="104"/>
      <c r="Q46" s="358">
        <f>COUNTA(Q11:Q44)</f>
        <v>0</v>
      </c>
      <c r="R46" s="360"/>
      <c r="S46" s="156" t="s">
        <v>385</v>
      </c>
      <c r="T46" s="156" t="s">
        <v>386</v>
      </c>
      <c r="U46" s="156" t="s">
        <v>384</v>
      </c>
      <c r="V46" s="156" t="s">
        <v>392</v>
      </c>
      <c r="W46" s="156" t="s">
        <v>383</v>
      </c>
      <c r="X46" s="156" t="s">
        <v>385</v>
      </c>
      <c r="Y46" s="156" t="s">
        <v>386</v>
      </c>
      <c r="Z46" s="156" t="s">
        <v>384</v>
      </c>
      <c r="AA46" s="156" t="s">
        <v>392</v>
      </c>
      <c r="AB46" s="156" t="s">
        <v>383</v>
      </c>
      <c r="AC46" s="156" t="s">
        <v>385</v>
      </c>
      <c r="AD46" s="156" t="s">
        <v>386</v>
      </c>
      <c r="AE46" s="156" t="s">
        <v>384</v>
      </c>
      <c r="AF46" s="156" t="s">
        <v>392</v>
      </c>
      <c r="AG46" s="156" t="s">
        <v>383</v>
      </c>
      <c r="AH46" s="156" t="s">
        <v>385</v>
      </c>
      <c r="AI46" s="156" t="s">
        <v>386</v>
      </c>
      <c r="AJ46" s="156" t="s">
        <v>384</v>
      </c>
      <c r="AK46" s="156" t="s">
        <v>392</v>
      </c>
      <c r="AL46" s="156" t="s">
        <v>383</v>
      </c>
      <c r="AM46" s="156" t="s">
        <v>385</v>
      </c>
      <c r="AN46" s="156" t="s">
        <v>386</v>
      </c>
      <c r="AO46" s="156" t="s">
        <v>384</v>
      </c>
      <c r="AP46" s="156" t="s">
        <v>392</v>
      </c>
      <c r="AQ46" s="156" t="s">
        <v>383</v>
      </c>
      <c r="AR46" s="156" t="s">
        <v>385</v>
      </c>
      <c r="AS46" s="156" t="s">
        <v>386</v>
      </c>
      <c r="AT46" s="156" t="s">
        <v>384</v>
      </c>
      <c r="AU46" s="156" t="s">
        <v>392</v>
      </c>
      <c r="AV46" s="156" t="s">
        <v>383</v>
      </c>
      <c r="AW46" s="156" t="s">
        <v>385</v>
      </c>
      <c r="AX46" s="156" t="s">
        <v>386</v>
      </c>
      <c r="AY46" s="156" t="s">
        <v>384</v>
      </c>
      <c r="AZ46" s="156" t="s">
        <v>392</v>
      </c>
      <c r="BA46" s="156" t="s">
        <v>383</v>
      </c>
      <c r="BB46" s="156" t="s">
        <v>385</v>
      </c>
      <c r="BC46" s="156" t="s">
        <v>386</v>
      </c>
      <c r="BD46" s="156" t="s">
        <v>384</v>
      </c>
      <c r="BE46" s="156" t="s">
        <v>392</v>
      </c>
      <c r="BF46" s="156" t="s">
        <v>383</v>
      </c>
      <c r="BG46" s="156" t="s">
        <v>385</v>
      </c>
      <c r="BH46" s="156" t="s">
        <v>386</v>
      </c>
      <c r="BI46" s="156" t="s">
        <v>384</v>
      </c>
      <c r="BJ46" s="156" t="s">
        <v>392</v>
      </c>
      <c r="BK46" s="156" t="s">
        <v>383</v>
      </c>
    </row>
    <row r="47" spans="1:64" ht="10" customHeight="1" x14ac:dyDescent="0.55000000000000004">
      <c r="A47" s="88"/>
      <c r="B47" s="88"/>
      <c r="G47" s="358"/>
      <c r="H47" s="359"/>
      <c r="I47" s="359"/>
      <c r="J47" s="360"/>
      <c r="K47" s="358"/>
      <c r="L47" s="359"/>
      <c r="M47" s="359"/>
      <c r="N47" s="360"/>
      <c r="O47" s="104"/>
      <c r="P47" s="104"/>
      <c r="Q47" s="358"/>
      <c r="R47" s="360"/>
      <c r="S47" s="157">
        <f>ROUND(SUM(S32,S43),0)</f>
        <v>22</v>
      </c>
      <c r="T47" s="113">
        <f>SUM(T11:T40)</f>
        <v>4335</v>
      </c>
      <c r="U47" s="113">
        <f>ROUND(SUM(U11:U40),0)</f>
        <v>1928</v>
      </c>
      <c r="V47" s="158">
        <f>SUM(V11:V40)</f>
        <v>640</v>
      </c>
      <c r="W47" s="97">
        <f>AVERAGE(W11:W40)</f>
        <v>0.42962962962962947</v>
      </c>
      <c r="X47" s="157">
        <f>ROUND(SUM(X32,X43),0)</f>
        <v>23</v>
      </c>
      <c r="Y47" s="113">
        <f>SUM(Y11:Y40)</f>
        <v>4395</v>
      </c>
      <c r="Z47" s="113">
        <f>ROUND(SUM(Z11:Z40),0)</f>
        <v>2042</v>
      </c>
      <c r="AA47" s="158">
        <f>SUM(AA11:AA40)</f>
        <v>654</v>
      </c>
      <c r="AB47" s="97">
        <f>AVERAGE(AB11:AB40)</f>
        <v>0.4499999999999999</v>
      </c>
      <c r="AC47" s="157">
        <f>ROUND(SUM(AC32,AC43),0)</f>
        <v>24</v>
      </c>
      <c r="AD47" s="113">
        <f>SUM(AD11:AD40)</f>
        <v>4645</v>
      </c>
      <c r="AE47" s="113">
        <f>SUM(AE11:AE40)</f>
        <v>2228</v>
      </c>
      <c r="AF47" s="158">
        <f>SUM(AF11:AF40)</f>
        <v>641</v>
      </c>
      <c r="AG47" s="97">
        <f>AVERAGE(AG11:AG40)</f>
        <v>0.4875000000000001</v>
      </c>
      <c r="AH47" s="157">
        <f>ROUND(SUM(AH32,AH43),0)</f>
        <v>23</v>
      </c>
      <c r="AI47" s="113">
        <f>SUM(AI11:AI40)</f>
        <v>4495</v>
      </c>
      <c r="AJ47" s="113">
        <f>SUM(AJ11:AJ40)</f>
        <v>2261</v>
      </c>
      <c r="AK47" s="158">
        <f>SUM(AK11:AK40)</f>
        <v>636</v>
      </c>
      <c r="AL47" s="97">
        <f>AVERAGE(AL11:AL40)</f>
        <v>0.5249999999999998</v>
      </c>
      <c r="AM47" s="157">
        <f>ROUND(SUM(AM32,AM43),0)</f>
        <v>22</v>
      </c>
      <c r="AN47" s="113">
        <f>SUM(AN11:AN40)</f>
        <v>4145</v>
      </c>
      <c r="AO47" s="113">
        <f>SUM(AO11:AO40)</f>
        <v>2260</v>
      </c>
      <c r="AP47" s="158">
        <f>SUM(AP11:AP40)</f>
        <v>637</v>
      </c>
      <c r="AQ47" s="97">
        <f>AVERAGE(AQ11:AQ40)</f>
        <v>0.56666666666666676</v>
      </c>
      <c r="AR47" s="157">
        <f>ROUND(SUM(AR32,AR43),0)</f>
        <v>22</v>
      </c>
      <c r="AS47" s="113">
        <f>SUM(AS11:AS40)</f>
        <v>3980</v>
      </c>
      <c r="AT47" s="113">
        <f>SUM(AT11:AT40)</f>
        <v>2332</v>
      </c>
      <c r="AU47" s="158">
        <f>SUM(AU11:AU40)</f>
        <v>660</v>
      </c>
      <c r="AV47" s="97">
        <f>AVERAGE(AV11:AV40)</f>
        <v>0.60652173913043483</v>
      </c>
      <c r="AW47" s="157">
        <f>ROUND(SUM(AW32,AW43),0)</f>
        <v>22</v>
      </c>
      <c r="AX47" s="113">
        <f>SUM(AX11:AX40)</f>
        <v>3980</v>
      </c>
      <c r="AY47" s="113">
        <f>SUM(AY11:AY40)</f>
        <v>2566</v>
      </c>
      <c r="AZ47" s="158">
        <f>SUM(AZ11:AZ40)</f>
        <v>667</v>
      </c>
      <c r="BA47" s="97">
        <f>AVERAGE(BA11:BA40)</f>
        <v>0.66304347826086951</v>
      </c>
      <c r="BB47" s="157">
        <f>ROUND(SUM(BB32,BB43),0)</f>
        <v>22</v>
      </c>
      <c r="BC47" s="113">
        <f>SUM(BC11:BC40)</f>
        <v>3980</v>
      </c>
      <c r="BD47" s="113">
        <f>SUM(BD11:BD40)</f>
        <v>2682.25</v>
      </c>
      <c r="BE47" s="158">
        <f>SUM(BE11:BE40)</f>
        <v>707</v>
      </c>
      <c r="BF47" s="97">
        <f>AVERAGE(BF11:BF40)</f>
        <v>0.69130434782608685</v>
      </c>
      <c r="BG47" s="157">
        <f>ROUND(SUM(BG32,BG43),0)</f>
        <v>22</v>
      </c>
      <c r="BH47" s="113">
        <f>SUM(BH11:BH40)</f>
        <v>3560</v>
      </c>
      <c r="BI47" s="113">
        <f>SUM(BI11:BI40)</f>
        <v>2616.25</v>
      </c>
      <c r="BJ47" s="158">
        <f>SUM(BJ11:BJ40)</f>
        <v>728</v>
      </c>
      <c r="BK47" s="97">
        <f>AVERAGE(BK11:BK40)</f>
        <v>0.74761904761904763</v>
      </c>
    </row>
    <row r="48" spans="1:64" ht="10" customHeight="1" x14ac:dyDescent="0.55000000000000004"/>
    <row r="49" spans="1:63" ht="10" customHeight="1" x14ac:dyDescent="0.55000000000000004">
      <c r="A49" s="348" t="s">
        <v>344</v>
      </c>
      <c r="B49" s="349"/>
      <c r="C49" s="253" t="s">
        <v>4</v>
      </c>
      <c r="D49" s="279"/>
      <c r="E49" s="279"/>
      <c r="F49" s="260"/>
      <c r="G49" s="361" t="s">
        <v>5</v>
      </c>
      <c r="H49" s="286"/>
      <c r="I49" s="286"/>
      <c r="J49" s="287"/>
      <c r="K49" s="361" t="s">
        <v>6</v>
      </c>
      <c r="L49" s="286"/>
      <c r="M49" s="286"/>
      <c r="N49" s="287"/>
      <c r="O49" s="103"/>
      <c r="P49" s="103"/>
      <c r="Q49" s="361" t="s">
        <v>7</v>
      </c>
      <c r="R49" s="287"/>
      <c r="S49" s="352" t="s">
        <v>8</v>
      </c>
      <c r="T49" s="353"/>
      <c r="U49" s="353"/>
      <c r="V49" s="353"/>
      <c r="W49" s="353"/>
      <c r="X49" s="352" t="s">
        <v>10</v>
      </c>
      <c r="Y49" s="353"/>
      <c r="Z49" s="353"/>
      <c r="AA49" s="353"/>
      <c r="AB49" s="354"/>
      <c r="AC49" s="352" t="s">
        <v>11</v>
      </c>
      <c r="AD49" s="353"/>
      <c r="AE49" s="353"/>
      <c r="AF49" s="353"/>
      <c r="AG49" s="354"/>
      <c r="AH49" s="352" t="s">
        <v>12</v>
      </c>
      <c r="AI49" s="353"/>
      <c r="AJ49" s="353"/>
      <c r="AK49" s="353"/>
      <c r="AL49" s="354"/>
      <c r="AM49" s="352" t="s">
        <v>13</v>
      </c>
      <c r="AN49" s="353"/>
      <c r="AO49" s="353"/>
      <c r="AP49" s="353"/>
      <c r="AQ49" s="354"/>
      <c r="AR49" s="352" t="s">
        <v>14</v>
      </c>
      <c r="AS49" s="353"/>
      <c r="AT49" s="353"/>
      <c r="AU49" s="353"/>
      <c r="AV49" s="354"/>
      <c r="AW49" s="352" t="s">
        <v>15</v>
      </c>
      <c r="AX49" s="353"/>
      <c r="AY49" s="353"/>
      <c r="AZ49" s="353"/>
      <c r="BA49" s="354"/>
      <c r="BB49" s="352" t="s">
        <v>16</v>
      </c>
      <c r="BC49" s="353"/>
      <c r="BD49" s="353"/>
      <c r="BE49" s="353"/>
      <c r="BF49" s="354"/>
      <c r="BG49" s="352" t="s">
        <v>4</v>
      </c>
      <c r="BH49" s="353"/>
      <c r="BI49" s="353"/>
      <c r="BJ49" s="353"/>
      <c r="BK49" s="354"/>
    </row>
    <row r="50" spans="1:63" ht="10" customHeight="1" x14ac:dyDescent="0.55000000000000004">
      <c r="A50" s="348"/>
      <c r="B50" s="349"/>
      <c r="C50" s="132"/>
      <c r="D50" s="133"/>
      <c r="E50" s="133"/>
      <c r="F50" s="84"/>
      <c r="G50" s="134"/>
      <c r="H50" s="135"/>
      <c r="I50" s="135"/>
      <c r="J50" s="87"/>
      <c r="K50" s="134"/>
      <c r="L50" s="135"/>
      <c r="M50" s="135"/>
      <c r="N50" s="87"/>
      <c r="O50" s="135"/>
      <c r="P50" s="135"/>
      <c r="Q50" s="134"/>
      <c r="R50" s="87"/>
      <c r="S50" s="156" t="s">
        <v>361</v>
      </c>
      <c r="T50" s="156" t="s">
        <v>373</v>
      </c>
      <c r="U50" s="156" t="s">
        <v>374</v>
      </c>
      <c r="V50" s="156" t="s">
        <v>343</v>
      </c>
      <c r="W50" s="156" t="s">
        <v>342</v>
      </c>
      <c r="X50" s="156" t="s">
        <v>361</v>
      </c>
      <c r="Y50" s="156" t="s">
        <v>362</v>
      </c>
      <c r="Z50" s="156" t="s">
        <v>374</v>
      </c>
      <c r="AA50" s="156" t="s">
        <v>343</v>
      </c>
      <c r="AB50" s="156" t="s">
        <v>342</v>
      </c>
      <c r="AC50" s="156" t="s">
        <v>361</v>
      </c>
      <c r="AD50" s="156" t="s">
        <v>362</v>
      </c>
      <c r="AE50" s="156" t="s">
        <v>374</v>
      </c>
      <c r="AF50" s="156" t="s">
        <v>343</v>
      </c>
      <c r="AG50" s="156" t="s">
        <v>342</v>
      </c>
      <c r="AH50" s="156" t="s">
        <v>361</v>
      </c>
      <c r="AI50" s="156" t="s">
        <v>362</v>
      </c>
      <c r="AJ50" s="156" t="s">
        <v>374</v>
      </c>
      <c r="AK50" s="156" t="s">
        <v>343</v>
      </c>
      <c r="AL50" s="156" t="s">
        <v>342</v>
      </c>
      <c r="AM50" s="156" t="s">
        <v>361</v>
      </c>
      <c r="AN50" s="156" t="s">
        <v>362</v>
      </c>
      <c r="AO50" s="156" t="s">
        <v>374</v>
      </c>
      <c r="AP50" s="156" t="s">
        <v>343</v>
      </c>
      <c r="AQ50" s="156" t="s">
        <v>342</v>
      </c>
      <c r="AR50" s="156" t="s">
        <v>361</v>
      </c>
      <c r="AS50" s="156" t="s">
        <v>362</v>
      </c>
      <c r="AT50" s="156" t="s">
        <v>374</v>
      </c>
      <c r="AU50" s="156" t="s">
        <v>343</v>
      </c>
      <c r="AV50" s="156" t="s">
        <v>342</v>
      </c>
      <c r="AW50" s="156" t="s">
        <v>361</v>
      </c>
      <c r="AX50" s="156" t="s">
        <v>362</v>
      </c>
      <c r="AY50" s="156" t="s">
        <v>374</v>
      </c>
      <c r="AZ50" s="156" t="s">
        <v>343</v>
      </c>
      <c r="BA50" s="156" t="s">
        <v>342</v>
      </c>
      <c r="BB50" s="156" t="s">
        <v>361</v>
      </c>
      <c r="BC50" s="156" t="s">
        <v>362</v>
      </c>
      <c r="BD50" s="156" t="s">
        <v>374</v>
      </c>
      <c r="BE50" s="156" t="s">
        <v>343</v>
      </c>
      <c r="BF50" s="156" t="s">
        <v>342</v>
      </c>
      <c r="BG50" s="156" t="s">
        <v>361</v>
      </c>
      <c r="BH50" s="156" t="s">
        <v>362</v>
      </c>
      <c r="BI50" s="156" t="s">
        <v>374</v>
      </c>
      <c r="BJ50" s="156" t="s">
        <v>343</v>
      </c>
      <c r="BK50" s="156" t="s">
        <v>342</v>
      </c>
    </row>
    <row r="51" spans="1:63" ht="10" customHeight="1" x14ac:dyDescent="0.55000000000000004">
      <c r="A51" s="161"/>
      <c r="B51" s="192" t="s">
        <v>364</v>
      </c>
      <c r="C51" s="189"/>
      <c r="D51" s="86"/>
      <c r="E51" s="86"/>
      <c r="F51" s="50"/>
      <c r="G51" s="86"/>
      <c r="H51" s="86"/>
      <c r="I51" s="86"/>
      <c r="J51" s="50"/>
      <c r="K51" s="86"/>
      <c r="L51" s="86"/>
      <c r="M51" s="86"/>
      <c r="N51" s="50"/>
      <c r="O51" s="111"/>
      <c r="P51" s="111"/>
      <c r="Q51" s="86"/>
      <c r="R51" s="50"/>
      <c r="S51" s="165" t="s">
        <v>262</v>
      </c>
      <c r="T51" s="166">
        <v>40</v>
      </c>
      <c r="U51" s="160">
        <f>ROUND(T51*W51,0)</f>
        <v>12</v>
      </c>
      <c r="V51" s="167">
        <v>1</v>
      </c>
      <c r="W51" s="168">
        <v>0.3</v>
      </c>
      <c r="X51" s="165" t="s">
        <v>262</v>
      </c>
      <c r="Y51" s="166">
        <v>40</v>
      </c>
      <c r="Z51" s="160">
        <f>Y51*AB51</f>
        <v>14</v>
      </c>
      <c r="AA51" s="167">
        <v>2</v>
      </c>
      <c r="AB51" s="168">
        <v>0.35</v>
      </c>
      <c r="AC51" s="165" t="s">
        <v>262</v>
      </c>
      <c r="AD51" s="166">
        <v>40</v>
      </c>
      <c r="AE51" s="160">
        <f>ROUND(AD51*AG51,0)</f>
        <v>16</v>
      </c>
      <c r="AF51" s="167">
        <v>5</v>
      </c>
      <c r="AG51" s="168">
        <v>0.4</v>
      </c>
      <c r="AH51" s="165" t="s">
        <v>262</v>
      </c>
      <c r="AI51" s="166">
        <v>40</v>
      </c>
      <c r="AJ51" s="160">
        <f>ROUND(AI51*AL51,0)</f>
        <v>16</v>
      </c>
      <c r="AK51" s="167">
        <v>5</v>
      </c>
      <c r="AL51" s="168">
        <v>0.4</v>
      </c>
      <c r="AM51" s="165" t="s">
        <v>262</v>
      </c>
      <c r="AN51" s="166">
        <v>40</v>
      </c>
      <c r="AO51" s="160">
        <f>ROUND(AN51*AQ51,0)</f>
        <v>18</v>
      </c>
      <c r="AP51" s="167">
        <v>5</v>
      </c>
      <c r="AQ51" s="168">
        <v>0.45</v>
      </c>
      <c r="AR51" s="165" t="s">
        <v>262</v>
      </c>
      <c r="AS51" s="166">
        <v>40</v>
      </c>
      <c r="AT51" s="160">
        <f>ROUND(AS51*AV51,0)</f>
        <v>18</v>
      </c>
      <c r="AU51" s="167">
        <v>5</v>
      </c>
      <c r="AV51" s="168">
        <v>0.45</v>
      </c>
      <c r="AW51" s="165" t="s">
        <v>262</v>
      </c>
      <c r="AX51" s="166">
        <v>40</v>
      </c>
      <c r="AY51" s="160">
        <f>ROUND(AX51*BA51,0)</f>
        <v>20</v>
      </c>
      <c r="AZ51" s="167">
        <v>5</v>
      </c>
      <c r="BA51" s="168">
        <v>0.5</v>
      </c>
      <c r="BB51" s="165" t="s">
        <v>262</v>
      </c>
      <c r="BC51" s="166">
        <v>40</v>
      </c>
      <c r="BD51" s="160">
        <f>ROUND(BC51*BF51,0)</f>
        <v>22</v>
      </c>
      <c r="BE51" s="167">
        <v>5</v>
      </c>
      <c r="BF51" s="168">
        <v>0.55000000000000004</v>
      </c>
      <c r="BG51" s="165" t="s">
        <v>262</v>
      </c>
      <c r="BH51" s="166">
        <v>40</v>
      </c>
      <c r="BI51" s="160">
        <f>ROUND(BH51*BK51,0)</f>
        <v>26</v>
      </c>
      <c r="BJ51" s="167">
        <v>5</v>
      </c>
      <c r="BK51" s="168">
        <v>0.65</v>
      </c>
    </row>
    <row r="52" spans="1:63" ht="10" customHeight="1" x14ac:dyDescent="0.55000000000000004">
      <c r="A52" s="88"/>
      <c r="B52" s="350" t="s">
        <v>22</v>
      </c>
      <c r="C52" s="189"/>
      <c r="D52" s="86"/>
      <c r="E52" s="86"/>
      <c r="F52" s="50"/>
      <c r="G52" s="86"/>
      <c r="H52" s="86"/>
      <c r="I52" s="86"/>
      <c r="J52" s="50"/>
      <c r="K52" s="86"/>
      <c r="L52" s="86"/>
      <c r="M52" s="86"/>
      <c r="N52" s="50"/>
      <c r="O52" s="111"/>
      <c r="P52" s="111"/>
      <c r="Q52" s="86"/>
      <c r="R52" s="50"/>
      <c r="S52" s="102" t="s">
        <v>375</v>
      </c>
      <c r="T52" s="121">
        <v>40</v>
      </c>
      <c r="U52" s="159">
        <f>ROUND(T52*W52,0)</f>
        <v>24</v>
      </c>
      <c r="V52" s="125">
        <v>33</v>
      </c>
      <c r="W52" s="128">
        <v>0.6</v>
      </c>
      <c r="X52" s="102" t="s">
        <v>375</v>
      </c>
      <c r="Y52" s="121">
        <v>40</v>
      </c>
      <c r="Z52" s="159">
        <f>Y52*AB52</f>
        <v>24</v>
      </c>
      <c r="AA52" s="125">
        <v>33</v>
      </c>
      <c r="AB52" s="128">
        <v>0.6</v>
      </c>
      <c r="AC52" s="102" t="s">
        <v>375</v>
      </c>
      <c r="AD52" s="121">
        <v>40</v>
      </c>
      <c r="AE52" s="159">
        <f>ROUND(AD52*AG52,0)</f>
        <v>26</v>
      </c>
      <c r="AF52" s="125">
        <v>25</v>
      </c>
      <c r="AG52" s="128">
        <v>0.65</v>
      </c>
      <c r="AH52" s="102" t="s">
        <v>375</v>
      </c>
      <c r="AI52" s="121">
        <v>40</v>
      </c>
      <c r="AJ52" s="159">
        <f>ROUND(AI52*AL52,0)</f>
        <v>26</v>
      </c>
      <c r="AK52" s="125">
        <v>20</v>
      </c>
      <c r="AL52" s="128">
        <v>0.65</v>
      </c>
      <c r="AM52" s="102" t="s">
        <v>375</v>
      </c>
      <c r="AN52" s="121">
        <v>40</v>
      </c>
      <c r="AO52" s="159">
        <f>ROUND(AN52*AQ52,0)</f>
        <v>28</v>
      </c>
      <c r="AP52" s="125">
        <v>15</v>
      </c>
      <c r="AQ52" s="128">
        <v>0.7</v>
      </c>
      <c r="AR52" s="102" t="s">
        <v>375</v>
      </c>
      <c r="AS52" s="121">
        <v>40</v>
      </c>
      <c r="AT52" s="159">
        <f>ROUND(AS52*AV52,0)</f>
        <v>28</v>
      </c>
      <c r="AU52" s="125">
        <v>15</v>
      </c>
      <c r="AV52" s="128">
        <v>0.7</v>
      </c>
      <c r="AW52" s="102" t="s">
        <v>375</v>
      </c>
      <c r="AX52" s="121">
        <v>40</v>
      </c>
      <c r="AY52" s="159">
        <f>ROUND(AX52*BA52,0)</f>
        <v>30</v>
      </c>
      <c r="AZ52" s="125">
        <v>15</v>
      </c>
      <c r="BA52" s="128">
        <v>0.75</v>
      </c>
      <c r="BB52" s="102" t="s">
        <v>375</v>
      </c>
      <c r="BC52" s="121">
        <v>40</v>
      </c>
      <c r="BD52" s="159">
        <f>ROUND(BC52*BF52,0)</f>
        <v>30</v>
      </c>
      <c r="BE52" s="125">
        <v>15</v>
      </c>
      <c r="BF52" s="128">
        <v>0.75</v>
      </c>
      <c r="BG52" s="102" t="s">
        <v>375</v>
      </c>
      <c r="BH52" s="121">
        <v>40</v>
      </c>
      <c r="BI52" s="159">
        <f>ROUND(BH52*BK52,0)</f>
        <v>32</v>
      </c>
      <c r="BJ52" s="125">
        <v>15</v>
      </c>
      <c r="BK52" s="128">
        <v>0.8</v>
      </c>
    </row>
    <row r="53" spans="1:63" ht="10" customHeight="1" x14ac:dyDescent="0.55000000000000004">
      <c r="B53" s="350"/>
      <c r="C53" s="190"/>
      <c r="D53" s="90"/>
      <c r="E53" s="90"/>
      <c r="F53" s="89"/>
      <c r="G53" s="90"/>
      <c r="H53" s="90"/>
      <c r="I53" s="90"/>
      <c r="J53" s="89"/>
      <c r="K53" s="90"/>
      <c r="L53" s="90"/>
      <c r="M53" s="90"/>
      <c r="N53" s="89"/>
      <c r="O53" s="101"/>
      <c r="P53" s="101"/>
      <c r="Q53" s="90"/>
      <c r="R53" s="89"/>
      <c r="S53" s="90" t="s">
        <v>222</v>
      </c>
      <c r="T53" s="122">
        <v>40</v>
      </c>
      <c r="U53" s="160">
        <f t="shared" ref="U53:U73" si="45">ROUND(T53*W53,0)</f>
        <v>22</v>
      </c>
      <c r="V53" s="126">
        <v>5</v>
      </c>
      <c r="W53" s="105">
        <v>0.55000000000000004</v>
      </c>
      <c r="X53" s="90" t="s">
        <v>222</v>
      </c>
      <c r="Y53" s="122">
        <v>40</v>
      </c>
      <c r="Z53" s="160">
        <f>Y53*AB53</f>
        <v>24</v>
      </c>
      <c r="AA53" s="126">
        <v>5</v>
      </c>
      <c r="AB53" s="105">
        <v>0.6</v>
      </c>
      <c r="AC53" s="90" t="s">
        <v>222</v>
      </c>
      <c r="AD53" s="122">
        <v>40</v>
      </c>
      <c r="AE53" s="160">
        <f t="shared" ref="AE53:AE73" si="46">ROUND(AD53*AG53,0)</f>
        <v>24</v>
      </c>
      <c r="AF53" s="126">
        <v>5</v>
      </c>
      <c r="AG53" s="105">
        <v>0.6</v>
      </c>
      <c r="AH53" s="90" t="s">
        <v>222</v>
      </c>
      <c r="AI53" s="122">
        <v>40</v>
      </c>
      <c r="AJ53" s="160">
        <f t="shared" ref="AJ53:AJ73" si="47">ROUND(AI53*AL53,0)</f>
        <v>24</v>
      </c>
      <c r="AK53" s="126">
        <v>5</v>
      </c>
      <c r="AL53" s="105">
        <v>0.6</v>
      </c>
      <c r="AM53" s="90" t="s">
        <v>222</v>
      </c>
      <c r="AN53" s="122">
        <v>40</v>
      </c>
      <c r="AO53" s="160">
        <f t="shared" ref="AO53:AO73" si="48">ROUND(AN53*AQ53,0)</f>
        <v>26</v>
      </c>
      <c r="AP53" s="126">
        <v>5</v>
      </c>
      <c r="AQ53" s="105">
        <v>0.65</v>
      </c>
      <c r="AR53" s="90" t="s">
        <v>222</v>
      </c>
      <c r="AS53" s="122">
        <v>40</v>
      </c>
      <c r="AT53" s="160">
        <f t="shared" ref="AT53:AT73" si="49">ROUND(AS53*AV53,0)</f>
        <v>26</v>
      </c>
      <c r="AU53" s="126">
        <v>5</v>
      </c>
      <c r="AV53" s="105">
        <v>0.65</v>
      </c>
      <c r="AW53" s="90" t="s">
        <v>222</v>
      </c>
      <c r="AX53" s="122">
        <v>40</v>
      </c>
      <c r="AY53" s="160">
        <f t="shared" ref="AY53:AY73" si="50">ROUND(AX53*BA53,0)</f>
        <v>26</v>
      </c>
      <c r="AZ53" s="126">
        <v>5</v>
      </c>
      <c r="BA53" s="105">
        <v>0.65</v>
      </c>
      <c r="BB53" s="90" t="s">
        <v>222</v>
      </c>
      <c r="BC53" s="122">
        <v>40</v>
      </c>
      <c r="BD53" s="160">
        <f t="shared" ref="BD53:BD73" si="51">ROUND(BC53*BF53,0)</f>
        <v>28</v>
      </c>
      <c r="BE53" s="126">
        <v>5</v>
      </c>
      <c r="BF53" s="105">
        <v>0.7</v>
      </c>
      <c r="BG53" s="90" t="s">
        <v>222</v>
      </c>
      <c r="BH53" s="122">
        <v>40</v>
      </c>
      <c r="BI53" s="160">
        <f t="shared" ref="BI53:BI73" si="52">ROUND(BH53*BK53,0)</f>
        <v>28</v>
      </c>
      <c r="BJ53" s="126">
        <v>5</v>
      </c>
      <c r="BK53" s="105">
        <v>0.7</v>
      </c>
    </row>
    <row r="54" spans="1:63" ht="10" customHeight="1" x14ac:dyDescent="0.55000000000000004">
      <c r="B54" s="350"/>
      <c r="C54" s="189"/>
      <c r="D54" s="86"/>
      <c r="E54" s="86"/>
      <c r="F54" s="50"/>
      <c r="G54" s="86"/>
      <c r="H54" s="86"/>
      <c r="I54" s="86"/>
      <c r="J54" s="50"/>
      <c r="K54" s="86"/>
      <c r="L54" s="86"/>
      <c r="M54" s="86"/>
      <c r="N54" s="50"/>
      <c r="O54" s="111"/>
      <c r="P54" s="111"/>
      <c r="Q54" s="86"/>
      <c r="R54" s="50"/>
      <c r="S54" s="86" t="s">
        <v>224</v>
      </c>
      <c r="T54" s="123">
        <v>80</v>
      </c>
      <c r="U54" s="159">
        <f t="shared" si="45"/>
        <v>56</v>
      </c>
      <c r="V54" s="127">
        <v>10</v>
      </c>
      <c r="W54" s="129">
        <v>0.7</v>
      </c>
      <c r="X54" s="86" t="s">
        <v>224</v>
      </c>
      <c r="Y54" s="123">
        <v>80</v>
      </c>
      <c r="Z54" s="159">
        <f t="shared" ref="Z54:Z73" si="53">Y54*AB54</f>
        <v>56</v>
      </c>
      <c r="AA54" s="127">
        <v>10</v>
      </c>
      <c r="AB54" s="129">
        <v>0.7</v>
      </c>
      <c r="AC54" s="86" t="s">
        <v>224</v>
      </c>
      <c r="AD54" s="123">
        <v>80</v>
      </c>
      <c r="AE54" s="159">
        <f t="shared" si="46"/>
        <v>56</v>
      </c>
      <c r="AF54" s="127">
        <v>10</v>
      </c>
      <c r="AG54" s="129">
        <v>0.7</v>
      </c>
      <c r="AH54" s="86" t="s">
        <v>224</v>
      </c>
      <c r="AI54" s="123">
        <v>80</v>
      </c>
      <c r="AJ54" s="159">
        <f t="shared" si="47"/>
        <v>60</v>
      </c>
      <c r="AK54" s="127">
        <v>10</v>
      </c>
      <c r="AL54" s="129">
        <v>0.75</v>
      </c>
      <c r="AM54" s="86" t="s">
        <v>224</v>
      </c>
      <c r="AN54" s="123">
        <v>80</v>
      </c>
      <c r="AO54" s="159">
        <f t="shared" si="48"/>
        <v>60</v>
      </c>
      <c r="AP54" s="127">
        <v>10</v>
      </c>
      <c r="AQ54" s="129">
        <v>0.75</v>
      </c>
      <c r="AR54" s="86" t="s">
        <v>224</v>
      </c>
      <c r="AS54" s="123">
        <v>80</v>
      </c>
      <c r="AT54" s="159">
        <f t="shared" si="49"/>
        <v>60</v>
      </c>
      <c r="AU54" s="127">
        <v>10</v>
      </c>
      <c r="AV54" s="129">
        <v>0.75</v>
      </c>
      <c r="AW54" s="86" t="s">
        <v>224</v>
      </c>
      <c r="AX54" s="123">
        <v>80</v>
      </c>
      <c r="AY54" s="159">
        <f t="shared" si="50"/>
        <v>64</v>
      </c>
      <c r="AZ54" s="127">
        <v>10</v>
      </c>
      <c r="BA54" s="129">
        <v>0.8</v>
      </c>
      <c r="BB54" s="86" t="s">
        <v>224</v>
      </c>
      <c r="BC54" s="123">
        <v>80</v>
      </c>
      <c r="BD54" s="159">
        <f t="shared" si="51"/>
        <v>64</v>
      </c>
      <c r="BE54" s="127">
        <v>10</v>
      </c>
      <c r="BF54" s="129">
        <v>0.8</v>
      </c>
      <c r="BG54" s="86" t="s">
        <v>224</v>
      </c>
      <c r="BH54" s="123">
        <v>80</v>
      </c>
      <c r="BI54" s="159">
        <f t="shared" si="52"/>
        <v>64</v>
      </c>
      <c r="BJ54" s="127">
        <v>10</v>
      </c>
      <c r="BK54" s="129">
        <v>0.8</v>
      </c>
    </row>
    <row r="55" spans="1:63" ht="10" customHeight="1" x14ac:dyDescent="0.55000000000000004">
      <c r="B55" s="350"/>
      <c r="C55" s="190"/>
      <c r="D55" s="90"/>
      <c r="E55" s="90"/>
      <c r="F55" s="89"/>
      <c r="G55" s="90"/>
      <c r="H55" s="90"/>
      <c r="I55" s="90"/>
      <c r="J55" s="89"/>
      <c r="K55" s="90"/>
      <c r="L55" s="90"/>
      <c r="M55" s="90"/>
      <c r="N55" s="89"/>
      <c r="O55" s="101"/>
      <c r="P55" s="101"/>
      <c r="Q55" s="90"/>
      <c r="R55" s="89"/>
      <c r="S55" s="90" t="s">
        <v>223</v>
      </c>
      <c r="T55" s="122">
        <v>80</v>
      </c>
      <c r="U55" s="160">
        <f t="shared" si="45"/>
        <v>60</v>
      </c>
      <c r="V55" s="126">
        <v>16</v>
      </c>
      <c r="W55" s="105">
        <v>0.75</v>
      </c>
      <c r="X55" s="90" t="s">
        <v>223</v>
      </c>
      <c r="Y55" s="122">
        <v>80</v>
      </c>
      <c r="Z55" s="160">
        <f t="shared" si="53"/>
        <v>60</v>
      </c>
      <c r="AA55" s="126">
        <v>16</v>
      </c>
      <c r="AB55" s="105">
        <v>0.75</v>
      </c>
      <c r="AC55" s="90" t="s">
        <v>223</v>
      </c>
      <c r="AD55" s="122">
        <v>80</v>
      </c>
      <c r="AE55" s="160">
        <f t="shared" si="46"/>
        <v>60</v>
      </c>
      <c r="AF55" s="126">
        <v>16</v>
      </c>
      <c r="AG55" s="105">
        <v>0.75</v>
      </c>
      <c r="AH55" s="90" t="s">
        <v>223</v>
      </c>
      <c r="AI55" s="122">
        <v>80</v>
      </c>
      <c r="AJ55" s="160">
        <f t="shared" si="47"/>
        <v>64</v>
      </c>
      <c r="AK55" s="126">
        <v>16</v>
      </c>
      <c r="AL55" s="105">
        <v>0.8</v>
      </c>
      <c r="AM55" s="90" t="s">
        <v>223</v>
      </c>
      <c r="AN55" s="122">
        <v>80</v>
      </c>
      <c r="AO55" s="160">
        <f t="shared" si="48"/>
        <v>64</v>
      </c>
      <c r="AP55" s="126">
        <v>16</v>
      </c>
      <c r="AQ55" s="105">
        <v>0.8</v>
      </c>
      <c r="AR55" s="90" t="s">
        <v>223</v>
      </c>
      <c r="AS55" s="122">
        <v>80</v>
      </c>
      <c r="AT55" s="160">
        <f t="shared" si="49"/>
        <v>64</v>
      </c>
      <c r="AU55" s="126">
        <v>16</v>
      </c>
      <c r="AV55" s="105">
        <v>0.8</v>
      </c>
      <c r="AW55" s="90" t="s">
        <v>223</v>
      </c>
      <c r="AX55" s="122">
        <v>80</v>
      </c>
      <c r="AY55" s="160">
        <f t="shared" si="50"/>
        <v>68</v>
      </c>
      <c r="AZ55" s="126">
        <v>16</v>
      </c>
      <c r="BA55" s="105">
        <v>0.85</v>
      </c>
      <c r="BB55" s="90" t="s">
        <v>223</v>
      </c>
      <c r="BC55" s="122">
        <v>80</v>
      </c>
      <c r="BD55" s="160">
        <f t="shared" si="51"/>
        <v>68</v>
      </c>
      <c r="BE55" s="126">
        <v>16</v>
      </c>
      <c r="BF55" s="105">
        <v>0.85</v>
      </c>
      <c r="BG55" s="90" t="s">
        <v>223</v>
      </c>
      <c r="BH55" s="122">
        <v>80</v>
      </c>
      <c r="BI55" s="160">
        <f t="shared" si="52"/>
        <v>68</v>
      </c>
      <c r="BJ55" s="126">
        <v>16</v>
      </c>
      <c r="BK55" s="105">
        <v>0.85</v>
      </c>
    </row>
    <row r="56" spans="1:63" ht="10" customHeight="1" x14ac:dyDescent="0.55000000000000004">
      <c r="B56" s="350"/>
      <c r="C56" s="189"/>
      <c r="D56" s="86"/>
      <c r="E56" s="86"/>
      <c r="F56" s="50"/>
      <c r="G56" s="86"/>
      <c r="H56" s="86"/>
      <c r="I56" s="86"/>
      <c r="J56" s="50"/>
      <c r="K56" s="86"/>
      <c r="L56" s="86"/>
      <c r="M56" s="86"/>
      <c r="N56" s="50"/>
      <c r="O56" s="111"/>
      <c r="P56" s="111"/>
      <c r="Q56" s="86"/>
      <c r="R56" s="50"/>
      <c r="S56" s="86" t="s">
        <v>227</v>
      </c>
      <c r="T56" s="123">
        <v>100</v>
      </c>
      <c r="U56" s="159">
        <f t="shared" si="45"/>
        <v>70</v>
      </c>
      <c r="V56" s="127">
        <v>16</v>
      </c>
      <c r="W56" s="129">
        <v>0.7</v>
      </c>
      <c r="X56" s="86" t="s">
        <v>227</v>
      </c>
      <c r="Y56" s="123">
        <v>100</v>
      </c>
      <c r="Z56" s="159">
        <f t="shared" si="53"/>
        <v>70</v>
      </c>
      <c r="AA56" s="127">
        <v>16</v>
      </c>
      <c r="AB56" s="129">
        <v>0.7</v>
      </c>
      <c r="AC56" s="86" t="s">
        <v>227</v>
      </c>
      <c r="AD56" s="123">
        <v>100</v>
      </c>
      <c r="AE56" s="159">
        <f t="shared" si="46"/>
        <v>70</v>
      </c>
      <c r="AF56" s="127">
        <v>16</v>
      </c>
      <c r="AG56" s="129">
        <v>0.7</v>
      </c>
      <c r="AH56" s="86" t="s">
        <v>227</v>
      </c>
      <c r="AI56" s="123">
        <v>100</v>
      </c>
      <c r="AJ56" s="159">
        <f t="shared" si="47"/>
        <v>70</v>
      </c>
      <c r="AK56" s="127">
        <v>16</v>
      </c>
      <c r="AL56" s="129">
        <v>0.7</v>
      </c>
      <c r="AM56" s="86" t="s">
        <v>227</v>
      </c>
      <c r="AN56" s="123">
        <v>100</v>
      </c>
      <c r="AO56" s="159">
        <f t="shared" si="48"/>
        <v>70</v>
      </c>
      <c r="AP56" s="127">
        <v>16</v>
      </c>
      <c r="AQ56" s="129">
        <v>0.7</v>
      </c>
      <c r="AR56" s="86" t="s">
        <v>227</v>
      </c>
      <c r="AS56" s="123">
        <v>100</v>
      </c>
      <c r="AT56" s="159">
        <f t="shared" si="49"/>
        <v>70</v>
      </c>
      <c r="AU56" s="127">
        <v>16</v>
      </c>
      <c r="AV56" s="129">
        <v>0.7</v>
      </c>
      <c r="AW56" s="86" t="s">
        <v>227</v>
      </c>
      <c r="AX56" s="123">
        <v>100</v>
      </c>
      <c r="AY56" s="159">
        <f t="shared" si="50"/>
        <v>70</v>
      </c>
      <c r="AZ56" s="127">
        <v>16</v>
      </c>
      <c r="BA56" s="129">
        <v>0.7</v>
      </c>
      <c r="BB56" s="86" t="s">
        <v>227</v>
      </c>
      <c r="BC56" s="123">
        <v>100</v>
      </c>
      <c r="BD56" s="159">
        <f t="shared" si="51"/>
        <v>70</v>
      </c>
      <c r="BE56" s="127">
        <v>16</v>
      </c>
      <c r="BF56" s="129">
        <v>0.7</v>
      </c>
      <c r="BG56" s="86" t="s">
        <v>227</v>
      </c>
      <c r="BH56" s="123">
        <v>100</v>
      </c>
      <c r="BI56" s="159">
        <f t="shared" si="52"/>
        <v>70</v>
      </c>
      <c r="BJ56" s="127">
        <v>16</v>
      </c>
      <c r="BK56" s="129">
        <v>0.7</v>
      </c>
    </row>
    <row r="57" spans="1:63" ht="10" customHeight="1" x14ac:dyDescent="0.55000000000000004">
      <c r="B57" s="350"/>
      <c r="C57" s="190"/>
      <c r="D57" s="90"/>
      <c r="E57" s="90"/>
      <c r="F57" s="89"/>
      <c r="G57" s="90"/>
      <c r="H57" s="90"/>
      <c r="I57" s="90"/>
      <c r="J57" s="89"/>
      <c r="K57" s="90"/>
      <c r="L57" s="90"/>
      <c r="M57" s="90"/>
      <c r="N57" s="89"/>
      <c r="O57" s="101"/>
      <c r="P57" s="101"/>
      <c r="Q57" s="90"/>
      <c r="R57" s="89"/>
      <c r="S57" s="90" t="s">
        <v>225</v>
      </c>
      <c r="T57" s="122">
        <v>30</v>
      </c>
      <c r="U57" s="160">
        <f t="shared" si="45"/>
        <v>15</v>
      </c>
      <c r="V57" s="126">
        <v>9</v>
      </c>
      <c r="W57" s="105">
        <v>0.5</v>
      </c>
      <c r="X57" s="90" t="s">
        <v>225</v>
      </c>
      <c r="Y57" s="122">
        <v>30</v>
      </c>
      <c r="Z57" s="160">
        <f t="shared" si="53"/>
        <v>15</v>
      </c>
      <c r="AA57" s="126">
        <v>9</v>
      </c>
      <c r="AB57" s="105">
        <v>0.5</v>
      </c>
      <c r="AC57" s="90" t="s">
        <v>225</v>
      </c>
      <c r="AD57" s="122">
        <v>30</v>
      </c>
      <c r="AE57" s="160">
        <f t="shared" si="46"/>
        <v>15</v>
      </c>
      <c r="AF57" s="126">
        <v>9</v>
      </c>
      <c r="AG57" s="105">
        <v>0.5</v>
      </c>
      <c r="AH57" s="90" t="s">
        <v>225</v>
      </c>
      <c r="AI57" s="122">
        <v>30</v>
      </c>
      <c r="AJ57" s="160">
        <f t="shared" si="47"/>
        <v>17</v>
      </c>
      <c r="AK57" s="126">
        <v>9</v>
      </c>
      <c r="AL57" s="105">
        <v>0.55000000000000004</v>
      </c>
      <c r="AM57" s="90" t="s">
        <v>225</v>
      </c>
      <c r="AN57" s="122">
        <v>30</v>
      </c>
      <c r="AO57" s="160">
        <f t="shared" si="48"/>
        <v>17</v>
      </c>
      <c r="AP57" s="126">
        <v>9</v>
      </c>
      <c r="AQ57" s="105">
        <v>0.55000000000000004</v>
      </c>
      <c r="AR57" s="90" t="s">
        <v>225</v>
      </c>
      <c r="AS57" s="122">
        <v>60</v>
      </c>
      <c r="AT57" s="160">
        <f t="shared" si="49"/>
        <v>30</v>
      </c>
      <c r="AU57" s="126">
        <v>9</v>
      </c>
      <c r="AV57" s="105">
        <v>0.5</v>
      </c>
      <c r="AW57" s="90" t="s">
        <v>225</v>
      </c>
      <c r="AX57" s="122">
        <v>30</v>
      </c>
      <c r="AY57" s="160">
        <f t="shared" si="50"/>
        <v>18</v>
      </c>
      <c r="AZ57" s="126">
        <v>9</v>
      </c>
      <c r="BA57" s="105">
        <v>0.6</v>
      </c>
      <c r="BB57" s="90" t="s">
        <v>225</v>
      </c>
      <c r="BC57" s="122">
        <v>30</v>
      </c>
      <c r="BD57" s="160">
        <f t="shared" si="51"/>
        <v>20</v>
      </c>
      <c r="BE57" s="126">
        <v>9</v>
      </c>
      <c r="BF57" s="105">
        <v>0.65</v>
      </c>
      <c r="BG57" s="90" t="s">
        <v>225</v>
      </c>
      <c r="BH57" s="122">
        <v>30</v>
      </c>
      <c r="BI57" s="160">
        <f t="shared" si="52"/>
        <v>20</v>
      </c>
      <c r="BJ57" s="126">
        <v>9</v>
      </c>
      <c r="BK57" s="105">
        <v>0.65</v>
      </c>
    </row>
    <row r="58" spans="1:63" ht="10" customHeight="1" x14ac:dyDescent="0.55000000000000004">
      <c r="B58" s="350"/>
      <c r="C58" s="190"/>
      <c r="D58" s="90"/>
      <c r="E58" s="90"/>
      <c r="F58" s="89"/>
      <c r="G58" s="90"/>
      <c r="H58" s="90"/>
      <c r="I58" s="90"/>
      <c r="J58" s="89"/>
      <c r="K58" s="90"/>
      <c r="L58" s="90"/>
      <c r="M58" s="90"/>
      <c r="N58" s="89"/>
      <c r="O58" s="101"/>
      <c r="P58" s="101"/>
      <c r="Q58" s="90"/>
      <c r="R58" s="89"/>
      <c r="S58" s="148" t="s">
        <v>370</v>
      </c>
      <c r="T58" s="123">
        <v>100</v>
      </c>
      <c r="U58" s="159">
        <f t="shared" si="45"/>
        <v>70</v>
      </c>
      <c r="V58" s="127">
        <v>40</v>
      </c>
      <c r="W58" s="129">
        <v>0.7</v>
      </c>
      <c r="X58" s="86" t="s">
        <v>370</v>
      </c>
      <c r="Y58" s="123">
        <v>100</v>
      </c>
      <c r="Z58" s="159">
        <f t="shared" si="53"/>
        <v>70</v>
      </c>
      <c r="AA58" s="127">
        <v>40</v>
      </c>
      <c r="AB58" s="129">
        <v>0.7</v>
      </c>
      <c r="AC58" s="86" t="s">
        <v>370</v>
      </c>
      <c r="AD58" s="123">
        <v>100</v>
      </c>
      <c r="AE58" s="159">
        <f t="shared" si="46"/>
        <v>70</v>
      </c>
      <c r="AF58" s="127">
        <v>40</v>
      </c>
      <c r="AG58" s="129">
        <v>0.7</v>
      </c>
      <c r="AH58" s="86" t="s">
        <v>370</v>
      </c>
      <c r="AI58" s="123">
        <v>100</v>
      </c>
      <c r="AJ58" s="159">
        <f t="shared" si="47"/>
        <v>70</v>
      </c>
      <c r="AK58" s="127">
        <v>40</v>
      </c>
      <c r="AL58" s="129">
        <v>0.7</v>
      </c>
      <c r="AM58" s="86" t="s">
        <v>370</v>
      </c>
      <c r="AN58" s="123">
        <v>100</v>
      </c>
      <c r="AO58" s="159">
        <f t="shared" si="48"/>
        <v>70</v>
      </c>
      <c r="AP58" s="127">
        <v>40</v>
      </c>
      <c r="AQ58" s="129">
        <v>0.7</v>
      </c>
      <c r="AR58" s="86" t="s">
        <v>370</v>
      </c>
      <c r="AS58" s="123">
        <v>100</v>
      </c>
      <c r="AT58" s="159">
        <f t="shared" si="49"/>
        <v>70</v>
      </c>
      <c r="AU58" s="127">
        <v>40</v>
      </c>
      <c r="AV58" s="129">
        <v>0.7</v>
      </c>
      <c r="AW58" s="86" t="s">
        <v>370</v>
      </c>
      <c r="AX58" s="123">
        <v>100</v>
      </c>
      <c r="AY58" s="159">
        <f t="shared" si="50"/>
        <v>70</v>
      </c>
      <c r="AZ58" s="127">
        <v>40</v>
      </c>
      <c r="BA58" s="129">
        <v>0.7</v>
      </c>
      <c r="BB58" s="86" t="s">
        <v>370</v>
      </c>
      <c r="BC58" s="123">
        <v>100</v>
      </c>
      <c r="BD58" s="159">
        <f t="shared" si="51"/>
        <v>70</v>
      </c>
      <c r="BE58" s="127">
        <v>40</v>
      </c>
      <c r="BF58" s="129">
        <v>0.7</v>
      </c>
      <c r="BG58" s="86" t="s">
        <v>370</v>
      </c>
      <c r="BH58" s="123">
        <v>100</v>
      </c>
      <c r="BI58" s="159">
        <f t="shared" si="52"/>
        <v>70</v>
      </c>
      <c r="BJ58" s="127">
        <v>40</v>
      </c>
      <c r="BK58" s="129">
        <v>0.7</v>
      </c>
    </row>
    <row r="59" spans="1:63" ht="10" customHeight="1" x14ac:dyDescent="0.55000000000000004">
      <c r="B59" s="350"/>
      <c r="C59" s="189"/>
      <c r="D59" s="86"/>
      <c r="E59" s="86"/>
      <c r="F59" s="50"/>
      <c r="G59" s="86"/>
      <c r="H59" s="86"/>
      <c r="I59" s="86"/>
      <c r="J59" s="50"/>
      <c r="K59" s="86"/>
      <c r="L59" s="86"/>
      <c r="M59" s="86"/>
      <c r="N59" s="50"/>
      <c r="O59" s="111"/>
      <c r="P59" s="111"/>
      <c r="Q59" s="86"/>
      <c r="R59" s="50"/>
      <c r="S59" s="90" t="s">
        <v>226</v>
      </c>
      <c r="T59" s="122">
        <v>100</v>
      </c>
      <c r="U59" s="160">
        <f t="shared" si="45"/>
        <v>50</v>
      </c>
      <c r="V59" s="126">
        <v>21</v>
      </c>
      <c r="W59" s="105">
        <v>0.5</v>
      </c>
      <c r="X59" s="90" t="s">
        <v>226</v>
      </c>
      <c r="Y59" s="122">
        <v>60</v>
      </c>
      <c r="Z59" s="160">
        <f t="shared" si="53"/>
        <v>30</v>
      </c>
      <c r="AA59" s="126">
        <v>21</v>
      </c>
      <c r="AB59" s="105">
        <v>0.5</v>
      </c>
      <c r="AC59" s="90" t="s">
        <v>226</v>
      </c>
      <c r="AD59" s="122">
        <v>60</v>
      </c>
      <c r="AE59" s="160">
        <f t="shared" si="46"/>
        <v>33</v>
      </c>
      <c r="AF59" s="126">
        <v>21</v>
      </c>
      <c r="AG59" s="105">
        <v>0.55000000000000004</v>
      </c>
      <c r="AH59" s="90" t="s">
        <v>226</v>
      </c>
      <c r="AI59" s="122">
        <v>60</v>
      </c>
      <c r="AJ59" s="160">
        <f t="shared" si="47"/>
        <v>33</v>
      </c>
      <c r="AK59" s="126">
        <v>21</v>
      </c>
      <c r="AL59" s="105">
        <v>0.55000000000000004</v>
      </c>
      <c r="AM59" s="90" t="s">
        <v>226</v>
      </c>
      <c r="AN59" s="122">
        <v>60</v>
      </c>
      <c r="AO59" s="160">
        <f t="shared" si="48"/>
        <v>33</v>
      </c>
      <c r="AP59" s="126">
        <v>21</v>
      </c>
      <c r="AQ59" s="105">
        <v>0.55000000000000004</v>
      </c>
      <c r="AR59" s="90" t="s">
        <v>226</v>
      </c>
      <c r="AS59" s="122">
        <v>60</v>
      </c>
      <c r="AT59" s="160">
        <f t="shared" si="49"/>
        <v>36</v>
      </c>
      <c r="AU59" s="126">
        <v>21</v>
      </c>
      <c r="AV59" s="105">
        <v>0.6</v>
      </c>
      <c r="AW59" s="90" t="s">
        <v>226</v>
      </c>
      <c r="AX59" s="122">
        <v>60</v>
      </c>
      <c r="AY59" s="160">
        <f t="shared" si="50"/>
        <v>39</v>
      </c>
      <c r="AZ59" s="126">
        <v>21</v>
      </c>
      <c r="BA59" s="105">
        <v>0.65</v>
      </c>
      <c r="BB59" s="90" t="s">
        <v>226</v>
      </c>
      <c r="BC59" s="122">
        <v>60</v>
      </c>
      <c r="BD59" s="160">
        <f t="shared" si="51"/>
        <v>42</v>
      </c>
      <c r="BE59" s="126">
        <v>21</v>
      </c>
      <c r="BF59" s="105">
        <v>0.7</v>
      </c>
      <c r="BG59" s="90" t="s">
        <v>226</v>
      </c>
      <c r="BH59" s="122">
        <v>60</v>
      </c>
      <c r="BI59" s="160">
        <f t="shared" si="52"/>
        <v>45</v>
      </c>
      <c r="BJ59" s="126">
        <v>21</v>
      </c>
      <c r="BK59" s="105">
        <v>0.75</v>
      </c>
    </row>
    <row r="60" spans="1:63" ht="10" customHeight="1" x14ac:dyDescent="0.55000000000000004">
      <c r="B60" s="350"/>
      <c r="C60" s="190"/>
      <c r="D60" s="90"/>
      <c r="E60" s="90"/>
      <c r="F60" s="89"/>
      <c r="G60" s="90"/>
      <c r="H60" s="90"/>
      <c r="I60" s="90"/>
      <c r="J60" s="89"/>
      <c r="K60" s="90"/>
      <c r="L60" s="90"/>
      <c r="M60" s="90"/>
      <c r="N60" s="89"/>
      <c r="O60" s="101"/>
      <c r="P60" s="101"/>
      <c r="Q60" s="90"/>
      <c r="R60" s="89"/>
      <c r="S60" s="148" t="s">
        <v>230</v>
      </c>
      <c r="T60" s="149">
        <v>40</v>
      </c>
      <c r="U60" s="159">
        <f t="shared" si="45"/>
        <v>16</v>
      </c>
      <c r="V60" s="150">
        <v>7</v>
      </c>
      <c r="W60" s="151">
        <v>0.4</v>
      </c>
      <c r="X60" s="148" t="s">
        <v>230</v>
      </c>
      <c r="Y60" s="149">
        <v>40</v>
      </c>
      <c r="Z60" s="159">
        <f t="shared" si="53"/>
        <v>16</v>
      </c>
      <c r="AA60" s="150">
        <v>7</v>
      </c>
      <c r="AB60" s="151">
        <v>0.4</v>
      </c>
      <c r="AC60" s="148" t="s">
        <v>230</v>
      </c>
      <c r="AD60" s="149">
        <v>40</v>
      </c>
      <c r="AE60" s="159">
        <f t="shared" si="46"/>
        <v>22</v>
      </c>
      <c r="AF60" s="150">
        <v>7</v>
      </c>
      <c r="AG60" s="151">
        <v>0.55000000000000004</v>
      </c>
      <c r="AH60" s="148" t="s">
        <v>230</v>
      </c>
      <c r="AI60" s="149">
        <v>40</v>
      </c>
      <c r="AJ60" s="159">
        <f t="shared" si="47"/>
        <v>22</v>
      </c>
      <c r="AK60" s="150">
        <v>7</v>
      </c>
      <c r="AL60" s="151">
        <v>0.55000000000000004</v>
      </c>
      <c r="AM60" s="148" t="s">
        <v>230</v>
      </c>
      <c r="AN60" s="149">
        <v>40</v>
      </c>
      <c r="AO60" s="159">
        <f t="shared" si="48"/>
        <v>24</v>
      </c>
      <c r="AP60" s="150">
        <v>7</v>
      </c>
      <c r="AQ60" s="151">
        <v>0.6</v>
      </c>
      <c r="AR60" s="148" t="s">
        <v>230</v>
      </c>
      <c r="AS60" s="149">
        <v>40</v>
      </c>
      <c r="AT60" s="159">
        <f t="shared" si="49"/>
        <v>24</v>
      </c>
      <c r="AU60" s="150">
        <v>7</v>
      </c>
      <c r="AV60" s="151">
        <v>0.6</v>
      </c>
      <c r="AW60" s="148" t="s">
        <v>230</v>
      </c>
      <c r="AX60" s="149">
        <v>40</v>
      </c>
      <c r="AY60" s="159">
        <f t="shared" si="50"/>
        <v>26</v>
      </c>
      <c r="AZ60" s="150">
        <v>7</v>
      </c>
      <c r="BA60" s="151">
        <v>0.65</v>
      </c>
      <c r="BB60" s="148" t="s">
        <v>230</v>
      </c>
      <c r="BC60" s="149">
        <v>40</v>
      </c>
      <c r="BD60" s="159">
        <f t="shared" si="51"/>
        <v>26</v>
      </c>
      <c r="BE60" s="150">
        <v>7</v>
      </c>
      <c r="BF60" s="151">
        <v>0.65</v>
      </c>
      <c r="BG60" s="148" t="s">
        <v>230</v>
      </c>
      <c r="BH60" s="149">
        <v>40</v>
      </c>
      <c r="BI60" s="159">
        <f t="shared" si="52"/>
        <v>28</v>
      </c>
      <c r="BJ60" s="150">
        <v>7</v>
      </c>
      <c r="BK60" s="151">
        <v>0.7</v>
      </c>
    </row>
    <row r="61" spans="1:63" ht="10" customHeight="1" x14ac:dyDescent="0.55000000000000004">
      <c r="B61" s="350"/>
      <c r="C61" s="189"/>
      <c r="D61" s="86"/>
      <c r="E61" s="86"/>
      <c r="F61" s="50"/>
      <c r="G61" s="86"/>
      <c r="H61" s="86"/>
      <c r="I61" s="86"/>
      <c r="J61" s="50"/>
      <c r="K61" s="86"/>
      <c r="L61" s="86"/>
      <c r="M61" s="86"/>
      <c r="N61" s="50"/>
      <c r="O61" s="111"/>
      <c r="P61" s="111"/>
      <c r="Q61" s="86"/>
      <c r="R61" s="50"/>
      <c r="S61" s="90" t="s">
        <v>231</v>
      </c>
      <c r="T61" s="122">
        <v>40</v>
      </c>
      <c r="U61" s="160">
        <f t="shared" si="45"/>
        <v>12</v>
      </c>
      <c r="V61" s="126">
        <v>6</v>
      </c>
      <c r="W61" s="105">
        <v>0.3</v>
      </c>
      <c r="X61" s="90" t="s">
        <v>231</v>
      </c>
      <c r="Y61" s="122">
        <v>40</v>
      </c>
      <c r="Z61" s="160">
        <f t="shared" si="53"/>
        <v>12</v>
      </c>
      <c r="AA61" s="126">
        <v>6</v>
      </c>
      <c r="AB61" s="105">
        <v>0.3</v>
      </c>
      <c r="AC61" s="90" t="s">
        <v>231</v>
      </c>
      <c r="AD61" s="122">
        <v>40</v>
      </c>
      <c r="AE61" s="160">
        <f t="shared" si="46"/>
        <v>12</v>
      </c>
      <c r="AF61" s="126">
        <v>6</v>
      </c>
      <c r="AG61" s="105">
        <v>0.3</v>
      </c>
      <c r="AH61" s="90" t="s">
        <v>231</v>
      </c>
      <c r="AI61" s="122">
        <v>40</v>
      </c>
      <c r="AJ61" s="160">
        <f t="shared" si="47"/>
        <v>14</v>
      </c>
      <c r="AK61" s="126">
        <v>10</v>
      </c>
      <c r="AL61" s="105">
        <v>0.35</v>
      </c>
      <c r="AM61" s="90" t="s">
        <v>231</v>
      </c>
      <c r="AN61" s="122">
        <v>40</v>
      </c>
      <c r="AO61" s="160">
        <f t="shared" si="48"/>
        <v>14</v>
      </c>
      <c r="AP61" s="126">
        <v>10</v>
      </c>
      <c r="AQ61" s="105">
        <v>0.35</v>
      </c>
      <c r="AR61" s="90" t="s">
        <v>231</v>
      </c>
      <c r="AS61" s="122">
        <v>40</v>
      </c>
      <c r="AT61" s="160">
        <f t="shared" si="49"/>
        <v>14</v>
      </c>
      <c r="AU61" s="126">
        <v>10</v>
      </c>
      <c r="AV61" s="105">
        <v>0.35</v>
      </c>
      <c r="AW61" s="90" t="s">
        <v>231</v>
      </c>
      <c r="AX61" s="122">
        <v>40</v>
      </c>
      <c r="AY61" s="160">
        <f t="shared" si="50"/>
        <v>16</v>
      </c>
      <c r="AZ61" s="126">
        <v>10</v>
      </c>
      <c r="BA61" s="105">
        <v>0.4</v>
      </c>
      <c r="BB61" s="90" t="s">
        <v>231</v>
      </c>
      <c r="BC61" s="122">
        <v>40</v>
      </c>
      <c r="BD61" s="160">
        <f t="shared" si="51"/>
        <v>18</v>
      </c>
      <c r="BE61" s="126">
        <v>10</v>
      </c>
      <c r="BF61" s="105">
        <v>0.45</v>
      </c>
      <c r="BG61" s="90" t="s">
        <v>231</v>
      </c>
      <c r="BH61" s="122">
        <v>40</v>
      </c>
      <c r="BI61" s="160">
        <f t="shared" si="52"/>
        <v>20</v>
      </c>
      <c r="BJ61" s="126">
        <v>10</v>
      </c>
      <c r="BK61" s="105">
        <v>0.5</v>
      </c>
    </row>
    <row r="62" spans="1:63" ht="10" customHeight="1" x14ac:dyDescent="0.55000000000000004">
      <c r="B62" s="350"/>
      <c r="C62" s="189"/>
      <c r="D62" s="86"/>
      <c r="E62" s="86"/>
      <c r="F62" s="50"/>
      <c r="G62" s="86"/>
      <c r="H62" s="86"/>
      <c r="I62" s="86"/>
      <c r="J62" s="50"/>
      <c r="K62" s="86"/>
      <c r="L62" s="86"/>
      <c r="M62" s="86"/>
      <c r="N62" s="50"/>
      <c r="O62" s="111"/>
      <c r="P62" s="111"/>
      <c r="Q62" s="86"/>
      <c r="R62" s="50"/>
      <c r="S62" s="148" t="s">
        <v>232</v>
      </c>
      <c r="T62" s="149">
        <v>40</v>
      </c>
      <c r="U62" s="159">
        <f t="shared" ref="U62:U64" si="54">ROUND(T62*W62,0)</f>
        <v>6</v>
      </c>
      <c r="V62" s="150">
        <v>2</v>
      </c>
      <c r="W62" s="151">
        <v>0.15</v>
      </c>
      <c r="X62" s="148" t="s">
        <v>232</v>
      </c>
      <c r="Y62" s="149">
        <v>40</v>
      </c>
      <c r="Z62" s="159">
        <f t="shared" ref="Z62:Z64" si="55">Y62*AB62</f>
        <v>8</v>
      </c>
      <c r="AA62" s="150">
        <v>2</v>
      </c>
      <c r="AB62" s="151">
        <v>0.2</v>
      </c>
      <c r="AC62" s="148" t="s">
        <v>232</v>
      </c>
      <c r="AD62" s="149">
        <v>40</v>
      </c>
      <c r="AE62" s="159">
        <f t="shared" ref="AE62:AE64" si="56">ROUND(AD62*AG62,0)</f>
        <v>12</v>
      </c>
      <c r="AF62" s="150">
        <v>5</v>
      </c>
      <c r="AG62" s="151">
        <v>0.3</v>
      </c>
      <c r="AH62" s="148" t="s">
        <v>232</v>
      </c>
      <c r="AI62" s="149">
        <v>40</v>
      </c>
      <c r="AJ62" s="159">
        <f t="shared" ref="AJ62:AJ64" si="57">ROUND(AI62*AL62,0)</f>
        <v>16</v>
      </c>
      <c r="AK62" s="150">
        <v>10</v>
      </c>
      <c r="AL62" s="151">
        <v>0.4</v>
      </c>
      <c r="AM62" s="148" t="s">
        <v>232</v>
      </c>
      <c r="AN62" s="149">
        <v>40</v>
      </c>
      <c r="AO62" s="159">
        <f t="shared" ref="AO62:AO64" si="58">ROUND(AN62*AQ62,0)</f>
        <v>18</v>
      </c>
      <c r="AP62" s="150">
        <v>10</v>
      </c>
      <c r="AQ62" s="151">
        <v>0.45</v>
      </c>
      <c r="AR62" s="148" t="s">
        <v>232</v>
      </c>
      <c r="AS62" s="149">
        <v>40</v>
      </c>
      <c r="AT62" s="159">
        <f t="shared" ref="AT62:AT64" si="59">ROUND(AS62*AV62,0)</f>
        <v>20</v>
      </c>
      <c r="AU62" s="150">
        <v>10</v>
      </c>
      <c r="AV62" s="151">
        <v>0.5</v>
      </c>
      <c r="AW62" s="148" t="s">
        <v>232</v>
      </c>
      <c r="AX62" s="149">
        <v>40</v>
      </c>
      <c r="AY62" s="159">
        <f t="shared" ref="AY62:AY64" si="60">ROUND(AX62*BA62,0)</f>
        <v>22</v>
      </c>
      <c r="AZ62" s="150">
        <v>10</v>
      </c>
      <c r="BA62" s="151">
        <v>0.55000000000000004</v>
      </c>
      <c r="BB62" s="148" t="s">
        <v>232</v>
      </c>
      <c r="BC62" s="149">
        <v>40</v>
      </c>
      <c r="BD62" s="159">
        <f t="shared" ref="BD62:BD64" si="61">ROUND(BC62*BF62,0)</f>
        <v>22</v>
      </c>
      <c r="BE62" s="150">
        <v>10</v>
      </c>
      <c r="BF62" s="151">
        <v>0.55000000000000004</v>
      </c>
      <c r="BG62" s="148" t="s">
        <v>232</v>
      </c>
      <c r="BH62" s="149">
        <v>40</v>
      </c>
      <c r="BI62" s="159">
        <f t="shared" ref="BI62:BI64" si="62">ROUND(BH62*BK62,0)</f>
        <v>24</v>
      </c>
      <c r="BJ62" s="150">
        <v>10</v>
      </c>
      <c r="BK62" s="151">
        <v>0.6</v>
      </c>
    </row>
    <row r="63" spans="1:63" ht="10" customHeight="1" x14ac:dyDescent="0.55000000000000004">
      <c r="B63" s="350"/>
      <c r="C63" s="189"/>
      <c r="D63" s="86"/>
      <c r="E63" s="86"/>
      <c r="F63" s="50"/>
      <c r="G63" s="86"/>
      <c r="H63" s="86"/>
      <c r="I63" s="86"/>
      <c r="J63" s="50"/>
      <c r="K63" s="86"/>
      <c r="L63" s="86"/>
      <c r="M63" s="86"/>
      <c r="N63" s="50"/>
      <c r="O63" s="111"/>
      <c r="P63" s="111"/>
      <c r="Q63" s="86"/>
      <c r="R63" s="50"/>
      <c r="S63" s="91" t="s">
        <v>376</v>
      </c>
      <c r="T63" s="124">
        <v>100</v>
      </c>
      <c r="U63" s="160">
        <f t="shared" si="54"/>
        <v>0</v>
      </c>
      <c r="V63" s="120">
        <v>0</v>
      </c>
      <c r="W63" s="109">
        <v>0</v>
      </c>
      <c r="X63" s="91" t="s">
        <v>376</v>
      </c>
      <c r="Y63" s="124">
        <v>100</v>
      </c>
      <c r="Z63" s="160">
        <f t="shared" si="55"/>
        <v>10</v>
      </c>
      <c r="AA63" s="120">
        <v>0</v>
      </c>
      <c r="AB63" s="109">
        <v>0.1</v>
      </c>
      <c r="AC63" s="91" t="s">
        <v>376</v>
      </c>
      <c r="AD63" s="124">
        <v>100</v>
      </c>
      <c r="AE63" s="160">
        <f t="shared" si="56"/>
        <v>20</v>
      </c>
      <c r="AF63" s="120">
        <v>10</v>
      </c>
      <c r="AG63" s="109">
        <v>0.2</v>
      </c>
      <c r="AH63" s="91" t="s">
        <v>376</v>
      </c>
      <c r="AI63" s="124">
        <v>100</v>
      </c>
      <c r="AJ63" s="160">
        <f t="shared" si="57"/>
        <v>30</v>
      </c>
      <c r="AK63" s="120">
        <v>15</v>
      </c>
      <c r="AL63" s="109">
        <v>0.3</v>
      </c>
      <c r="AM63" s="91" t="s">
        <v>376</v>
      </c>
      <c r="AN63" s="124">
        <v>100</v>
      </c>
      <c r="AO63" s="160">
        <f t="shared" si="58"/>
        <v>40</v>
      </c>
      <c r="AP63" s="120">
        <v>15</v>
      </c>
      <c r="AQ63" s="109">
        <v>0.4</v>
      </c>
      <c r="AR63" s="91" t="s">
        <v>376</v>
      </c>
      <c r="AS63" s="124">
        <v>100</v>
      </c>
      <c r="AT63" s="160">
        <f t="shared" si="59"/>
        <v>45</v>
      </c>
      <c r="AU63" s="120">
        <v>15</v>
      </c>
      <c r="AV63" s="109">
        <v>0.45</v>
      </c>
      <c r="AW63" s="91" t="s">
        <v>376</v>
      </c>
      <c r="AX63" s="124">
        <v>100</v>
      </c>
      <c r="AY63" s="160">
        <f t="shared" si="60"/>
        <v>50</v>
      </c>
      <c r="AZ63" s="120">
        <v>15</v>
      </c>
      <c r="BA63" s="109">
        <v>0.5</v>
      </c>
      <c r="BB63" s="91" t="s">
        <v>376</v>
      </c>
      <c r="BC63" s="124">
        <v>100</v>
      </c>
      <c r="BD63" s="160">
        <f t="shared" si="61"/>
        <v>55</v>
      </c>
      <c r="BE63" s="120">
        <v>15</v>
      </c>
      <c r="BF63" s="109">
        <v>0.55000000000000004</v>
      </c>
      <c r="BG63" s="91" t="s">
        <v>376</v>
      </c>
      <c r="BH63" s="124">
        <v>100</v>
      </c>
      <c r="BI63" s="160">
        <f t="shared" si="62"/>
        <v>60</v>
      </c>
      <c r="BJ63" s="120">
        <v>15</v>
      </c>
      <c r="BK63" s="109">
        <v>0.6</v>
      </c>
    </row>
    <row r="64" spans="1:63" ht="10" customHeight="1" x14ac:dyDescent="0.55000000000000004">
      <c r="B64" s="350"/>
      <c r="C64" s="190"/>
      <c r="D64" s="90"/>
      <c r="E64" s="90"/>
      <c r="F64" s="89"/>
      <c r="G64" s="90"/>
      <c r="H64" s="90"/>
      <c r="I64" s="90"/>
      <c r="J64" s="89"/>
      <c r="K64" s="90"/>
      <c r="L64" s="90"/>
      <c r="M64" s="90"/>
      <c r="N64" s="89"/>
      <c r="O64" s="101"/>
      <c r="P64" s="101"/>
      <c r="Q64" s="90"/>
      <c r="R64" s="89"/>
      <c r="S64" s="148" t="s">
        <v>377</v>
      </c>
      <c r="T64" s="130">
        <v>100</v>
      </c>
      <c r="U64" s="159">
        <f t="shared" si="54"/>
        <v>0</v>
      </c>
      <c r="V64" s="119">
        <v>12</v>
      </c>
      <c r="W64" s="131">
        <v>0</v>
      </c>
      <c r="X64" s="148" t="s">
        <v>377</v>
      </c>
      <c r="Y64" s="130">
        <v>100</v>
      </c>
      <c r="Z64" s="159">
        <f t="shared" si="55"/>
        <v>10</v>
      </c>
      <c r="AA64" s="119">
        <v>12</v>
      </c>
      <c r="AB64" s="131">
        <v>0.1</v>
      </c>
      <c r="AC64" s="148" t="s">
        <v>377</v>
      </c>
      <c r="AD64" s="130">
        <v>100</v>
      </c>
      <c r="AE64" s="159">
        <f t="shared" si="56"/>
        <v>20</v>
      </c>
      <c r="AF64" s="119">
        <v>10</v>
      </c>
      <c r="AG64" s="131">
        <v>0.2</v>
      </c>
      <c r="AH64" s="148" t="s">
        <v>377</v>
      </c>
      <c r="AI64" s="130">
        <v>100</v>
      </c>
      <c r="AJ64" s="159">
        <f t="shared" si="57"/>
        <v>30</v>
      </c>
      <c r="AK64" s="119">
        <v>15</v>
      </c>
      <c r="AL64" s="131">
        <v>0.3</v>
      </c>
      <c r="AM64" s="148" t="s">
        <v>377</v>
      </c>
      <c r="AN64" s="130">
        <v>100</v>
      </c>
      <c r="AO64" s="159">
        <f t="shared" si="58"/>
        <v>40</v>
      </c>
      <c r="AP64" s="119">
        <v>15</v>
      </c>
      <c r="AQ64" s="131">
        <v>0.4</v>
      </c>
      <c r="AR64" s="148" t="s">
        <v>377</v>
      </c>
      <c r="AS64" s="130">
        <v>100</v>
      </c>
      <c r="AT64" s="159">
        <f t="shared" si="59"/>
        <v>45</v>
      </c>
      <c r="AU64" s="119">
        <v>15</v>
      </c>
      <c r="AV64" s="131">
        <v>0.45</v>
      </c>
      <c r="AW64" s="148" t="s">
        <v>377</v>
      </c>
      <c r="AX64" s="130">
        <v>100</v>
      </c>
      <c r="AY64" s="159">
        <f t="shared" si="60"/>
        <v>50</v>
      </c>
      <c r="AZ64" s="119">
        <v>15</v>
      </c>
      <c r="BA64" s="131">
        <v>0.5</v>
      </c>
      <c r="BB64" s="148" t="s">
        <v>377</v>
      </c>
      <c r="BC64" s="130">
        <v>100</v>
      </c>
      <c r="BD64" s="159">
        <f t="shared" si="61"/>
        <v>55</v>
      </c>
      <c r="BE64" s="119">
        <v>15</v>
      </c>
      <c r="BF64" s="131">
        <v>0.55000000000000004</v>
      </c>
      <c r="BG64" s="148" t="s">
        <v>377</v>
      </c>
      <c r="BH64" s="130">
        <v>100</v>
      </c>
      <c r="BI64" s="159">
        <f t="shared" si="62"/>
        <v>60</v>
      </c>
      <c r="BJ64" s="119">
        <v>15</v>
      </c>
      <c r="BK64" s="131">
        <v>0.6</v>
      </c>
    </row>
    <row r="65" spans="1:63" ht="10" customHeight="1" x14ac:dyDescent="0.55000000000000004">
      <c r="B65" s="350" t="s">
        <v>365</v>
      </c>
      <c r="C65" s="189"/>
      <c r="D65" s="86"/>
      <c r="E65" s="86"/>
      <c r="F65" s="49"/>
      <c r="G65" s="86"/>
      <c r="H65" s="86"/>
      <c r="I65" s="86"/>
      <c r="J65" s="49"/>
      <c r="K65" s="86"/>
      <c r="L65" s="86"/>
      <c r="M65" s="86"/>
      <c r="N65" s="49"/>
      <c r="O65" s="86"/>
      <c r="P65" s="86"/>
      <c r="Q65" s="86"/>
      <c r="R65" s="49"/>
      <c r="S65" s="90" t="s">
        <v>238</v>
      </c>
      <c r="T65" s="122">
        <v>5</v>
      </c>
      <c r="U65" s="160">
        <f t="shared" si="45"/>
        <v>4</v>
      </c>
      <c r="V65" s="126">
        <v>8</v>
      </c>
      <c r="W65" s="105">
        <v>0.8</v>
      </c>
      <c r="X65" s="90" t="s">
        <v>238</v>
      </c>
      <c r="Y65" s="122">
        <v>5</v>
      </c>
      <c r="Z65" s="160">
        <f t="shared" si="53"/>
        <v>4</v>
      </c>
      <c r="AA65" s="126">
        <v>8</v>
      </c>
      <c r="AB65" s="105">
        <v>0.8</v>
      </c>
      <c r="AC65" s="90" t="s">
        <v>238</v>
      </c>
      <c r="AD65" s="122">
        <v>5</v>
      </c>
      <c r="AE65" s="160">
        <f t="shared" si="46"/>
        <v>1</v>
      </c>
      <c r="AF65" s="126">
        <v>8</v>
      </c>
      <c r="AG65" s="105">
        <v>0.2</v>
      </c>
      <c r="AH65" s="90" t="s">
        <v>238</v>
      </c>
      <c r="AI65" s="122">
        <v>5</v>
      </c>
      <c r="AJ65" s="160">
        <f t="shared" si="47"/>
        <v>4</v>
      </c>
      <c r="AK65" s="126">
        <v>8</v>
      </c>
      <c r="AL65" s="105">
        <v>0.8</v>
      </c>
      <c r="AM65" s="90" t="s">
        <v>238</v>
      </c>
      <c r="AN65" s="122">
        <v>5</v>
      </c>
      <c r="AO65" s="160">
        <f t="shared" si="48"/>
        <v>4</v>
      </c>
      <c r="AP65" s="126">
        <v>8</v>
      </c>
      <c r="AQ65" s="105">
        <v>0.8</v>
      </c>
      <c r="AR65" s="90" t="s">
        <v>238</v>
      </c>
      <c r="AS65" s="122">
        <v>5</v>
      </c>
      <c r="AT65" s="160">
        <f t="shared" si="49"/>
        <v>4</v>
      </c>
      <c r="AU65" s="126">
        <v>8</v>
      </c>
      <c r="AV65" s="105">
        <v>0.8</v>
      </c>
      <c r="AW65" s="90" t="s">
        <v>238</v>
      </c>
      <c r="AX65" s="122">
        <v>5</v>
      </c>
      <c r="AY65" s="160">
        <f t="shared" si="50"/>
        <v>4</v>
      </c>
      <c r="AZ65" s="126">
        <v>8</v>
      </c>
      <c r="BA65" s="105">
        <v>0.8</v>
      </c>
      <c r="BB65" s="90" t="s">
        <v>238</v>
      </c>
      <c r="BC65" s="122">
        <v>5</v>
      </c>
      <c r="BD65" s="160">
        <f t="shared" si="51"/>
        <v>4</v>
      </c>
      <c r="BE65" s="126">
        <v>8</v>
      </c>
      <c r="BF65" s="105">
        <v>0.8</v>
      </c>
      <c r="BG65" s="90" t="s">
        <v>238</v>
      </c>
      <c r="BH65" s="122">
        <v>5</v>
      </c>
      <c r="BI65" s="160">
        <f t="shared" si="52"/>
        <v>4</v>
      </c>
      <c r="BJ65" s="126">
        <v>8</v>
      </c>
      <c r="BK65" s="105">
        <v>0.8</v>
      </c>
    </row>
    <row r="66" spans="1:63" ht="10" customHeight="1" x14ac:dyDescent="0.55000000000000004">
      <c r="B66" s="350"/>
      <c r="C66" s="190"/>
      <c r="D66" s="90"/>
      <c r="E66" s="90"/>
      <c r="F66" s="91"/>
      <c r="G66" s="90"/>
      <c r="H66" s="90"/>
      <c r="I66" s="90"/>
      <c r="J66" s="91"/>
      <c r="K66" s="90"/>
      <c r="L66" s="90"/>
      <c r="M66" s="90"/>
      <c r="N66" s="91"/>
      <c r="O66" s="90"/>
      <c r="P66" s="90"/>
      <c r="Q66" s="90"/>
      <c r="R66" s="91"/>
      <c r="S66" s="148" t="s">
        <v>366</v>
      </c>
      <c r="T66" s="149">
        <v>20</v>
      </c>
      <c r="U66" s="159">
        <f t="shared" si="45"/>
        <v>18</v>
      </c>
      <c r="V66" s="150">
        <v>16</v>
      </c>
      <c r="W66" s="151">
        <v>0.9</v>
      </c>
      <c r="X66" s="148" t="s">
        <v>366</v>
      </c>
      <c r="Y66" s="149">
        <v>20</v>
      </c>
      <c r="Z66" s="159">
        <f t="shared" si="53"/>
        <v>18</v>
      </c>
      <c r="AA66" s="150">
        <v>16</v>
      </c>
      <c r="AB66" s="151">
        <v>0.9</v>
      </c>
      <c r="AC66" s="148" t="s">
        <v>366</v>
      </c>
      <c r="AD66" s="149">
        <v>20</v>
      </c>
      <c r="AE66" s="159">
        <f t="shared" si="46"/>
        <v>18</v>
      </c>
      <c r="AF66" s="150">
        <v>16</v>
      </c>
      <c r="AG66" s="151">
        <v>0.9</v>
      </c>
      <c r="AH66" s="148" t="s">
        <v>366</v>
      </c>
      <c r="AI66" s="149">
        <v>20</v>
      </c>
      <c r="AJ66" s="159">
        <f t="shared" si="47"/>
        <v>18</v>
      </c>
      <c r="AK66" s="150">
        <v>16</v>
      </c>
      <c r="AL66" s="151">
        <v>0.9</v>
      </c>
      <c r="AM66" s="148" t="s">
        <v>366</v>
      </c>
      <c r="AN66" s="149">
        <v>20</v>
      </c>
      <c r="AO66" s="159">
        <f t="shared" si="48"/>
        <v>18</v>
      </c>
      <c r="AP66" s="150">
        <v>16</v>
      </c>
      <c r="AQ66" s="151">
        <v>0.9</v>
      </c>
      <c r="AR66" s="148" t="s">
        <v>366</v>
      </c>
      <c r="AS66" s="149">
        <v>20</v>
      </c>
      <c r="AT66" s="159">
        <f t="shared" si="49"/>
        <v>18</v>
      </c>
      <c r="AU66" s="150">
        <v>16</v>
      </c>
      <c r="AV66" s="151">
        <v>0.9</v>
      </c>
      <c r="AW66" s="148" t="s">
        <v>366</v>
      </c>
      <c r="AX66" s="149">
        <v>20</v>
      </c>
      <c r="AY66" s="159">
        <f t="shared" si="50"/>
        <v>18</v>
      </c>
      <c r="AZ66" s="150">
        <v>16</v>
      </c>
      <c r="BA66" s="151">
        <v>0.9</v>
      </c>
      <c r="BB66" s="148" t="s">
        <v>366</v>
      </c>
      <c r="BC66" s="149">
        <v>20</v>
      </c>
      <c r="BD66" s="159">
        <f t="shared" si="51"/>
        <v>18</v>
      </c>
      <c r="BE66" s="150">
        <v>16</v>
      </c>
      <c r="BF66" s="151">
        <v>0.9</v>
      </c>
      <c r="BG66" s="148" t="s">
        <v>366</v>
      </c>
      <c r="BH66" s="149">
        <v>20</v>
      </c>
      <c r="BI66" s="159">
        <f t="shared" si="52"/>
        <v>18</v>
      </c>
      <c r="BJ66" s="150">
        <v>16</v>
      </c>
      <c r="BK66" s="151">
        <v>0.9</v>
      </c>
    </row>
    <row r="67" spans="1:63" ht="10" customHeight="1" x14ac:dyDescent="0.55000000000000004">
      <c r="B67" s="350"/>
      <c r="C67" s="191" t="s">
        <v>191</v>
      </c>
      <c r="D67" s="49"/>
      <c r="E67" s="49"/>
      <c r="F67" s="50">
        <v>200</v>
      </c>
      <c r="G67" s="355" t="s">
        <v>191</v>
      </c>
      <c r="H67" s="90"/>
      <c r="I67" s="90"/>
      <c r="J67" s="89">
        <v>200</v>
      </c>
      <c r="K67" s="91" t="s">
        <v>191</v>
      </c>
      <c r="L67" s="91"/>
      <c r="M67" s="91"/>
      <c r="N67" s="89">
        <v>200</v>
      </c>
      <c r="O67" s="89"/>
      <c r="P67" s="89"/>
      <c r="Q67" s="91" t="s">
        <v>191</v>
      </c>
      <c r="R67" s="89">
        <v>200</v>
      </c>
      <c r="S67" s="91" t="s">
        <v>240</v>
      </c>
      <c r="T67" s="124">
        <v>10</v>
      </c>
      <c r="U67" s="160">
        <f t="shared" si="45"/>
        <v>5</v>
      </c>
      <c r="V67" s="120">
        <v>15</v>
      </c>
      <c r="W67" s="109">
        <v>0.45</v>
      </c>
      <c r="X67" s="91" t="s">
        <v>240</v>
      </c>
      <c r="Y67" s="124">
        <v>10</v>
      </c>
      <c r="Z67" s="160">
        <f t="shared" si="53"/>
        <v>4.5</v>
      </c>
      <c r="AA67" s="120">
        <v>15</v>
      </c>
      <c r="AB67" s="109">
        <v>0.45</v>
      </c>
      <c r="AC67" s="91" t="s">
        <v>240</v>
      </c>
      <c r="AD67" s="124">
        <v>10</v>
      </c>
      <c r="AE67" s="160">
        <f t="shared" si="46"/>
        <v>5</v>
      </c>
      <c r="AF67" s="120">
        <v>15</v>
      </c>
      <c r="AG67" s="109">
        <v>0.5</v>
      </c>
      <c r="AH67" s="91" t="s">
        <v>240</v>
      </c>
      <c r="AI67" s="124">
        <v>10</v>
      </c>
      <c r="AJ67" s="160">
        <f t="shared" si="47"/>
        <v>5</v>
      </c>
      <c r="AK67" s="120">
        <v>15</v>
      </c>
      <c r="AL67" s="109">
        <v>0.5</v>
      </c>
      <c r="AM67" s="91" t="s">
        <v>240</v>
      </c>
      <c r="AN67" s="124">
        <v>10</v>
      </c>
      <c r="AO67" s="160">
        <f t="shared" si="48"/>
        <v>6</v>
      </c>
      <c r="AP67" s="120">
        <v>15</v>
      </c>
      <c r="AQ67" s="109">
        <v>0.6</v>
      </c>
      <c r="AR67" s="91" t="s">
        <v>240</v>
      </c>
      <c r="AS67" s="124">
        <v>10</v>
      </c>
      <c r="AT67" s="160">
        <f t="shared" si="49"/>
        <v>6</v>
      </c>
      <c r="AU67" s="120">
        <v>15</v>
      </c>
      <c r="AV67" s="109">
        <v>0.6</v>
      </c>
      <c r="AW67" s="91" t="s">
        <v>240</v>
      </c>
      <c r="AX67" s="124">
        <v>10</v>
      </c>
      <c r="AY67" s="160">
        <f t="shared" si="50"/>
        <v>7</v>
      </c>
      <c r="AZ67" s="120">
        <v>15</v>
      </c>
      <c r="BA67" s="109">
        <v>0.65</v>
      </c>
      <c r="BB67" s="91" t="s">
        <v>240</v>
      </c>
      <c r="BC67" s="124">
        <v>10</v>
      </c>
      <c r="BD67" s="160">
        <f t="shared" si="51"/>
        <v>7</v>
      </c>
      <c r="BE67" s="120">
        <v>15</v>
      </c>
      <c r="BF67" s="109">
        <v>0.65</v>
      </c>
      <c r="BG67" s="91" t="s">
        <v>240</v>
      </c>
      <c r="BH67" s="124">
        <v>10</v>
      </c>
      <c r="BI67" s="160">
        <f t="shared" si="52"/>
        <v>7</v>
      </c>
      <c r="BJ67" s="120">
        <v>15</v>
      </c>
      <c r="BK67" s="109">
        <v>0.7</v>
      </c>
    </row>
    <row r="68" spans="1:63" ht="10" customHeight="1" x14ac:dyDescent="0.55000000000000004">
      <c r="B68" s="350"/>
      <c r="C68" s="191"/>
      <c r="D68" s="49"/>
      <c r="E68" s="49"/>
      <c r="F68" s="50"/>
      <c r="G68" s="356"/>
      <c r="H68" s="92"/>
      <c r="I68" s="92"/>
      <c r="J68" s="89"/>
      <c r="K68" s="91"/>
      <c r="L68" s="91"/>
      <c r="M68" s="91"/>
      <c r="N68" s="89"/>
      <c r="O68" s="89"/>
      <c r="P68" s="89"/>
      <c r="Q68" s="91"/>
      <c r="R68" s="89"/>
      <c r="S68" s="107" t="s">
        <v>239</v>
      </c>
      <c r="T68" s="130">
        <v>80</v>
      </c>
      <c r="U68" s="159">
        <f t="shared" si="45"/>
        <v>64</v>
      </c>
      <c r="V68" s="119">
        <v>35</v>
      </c>
      <c r="W68" s="131">
        <v>0.8</v>
      </c>
      <c r="X68" s="107" t="s">
        <v>239</v>
      </c>
      <c r="Y68" s="130">
        <v>80</v>
      </c>
      <c r="Z68" s="159">
        <f t="shared" si="53"/>
        <v>64</v>
      </c>
      <c r="AA68" s="119">
        <v>35</v>
      </c>
      <c r="AB68" s="131">
        <v>0.8</v>
      </c>
      <c r="AC68" s="107" t="s">
        <v>239</v>
      </c>
      <c r="AD68" s="130">
        <v>80</v>
      </c>
      <c r="AE68" s="159">
        <f t="shared" si="46"/>
        <v>64</v>
      </c>
      <c r="AF68" s="119">
        <v>35</v>
      </c>
      <c r="AG68" s="131">
        <v>0.8</v>
      </c>
      <c r="AH68" s="107" t="s">
        <v>239</v>
      </c>
      <c r="AI68" s="130">
        <v>80</v>
      </c>
      <c r="AJ68" s="159">
        <f t="shared" si="47"/>
        <v>64</v>
      </c>
      <c r="AK68" s="119">
        <v>35</v>
      </c>
      <c r="AL68" s="131">
        <v>0.8</v>
      </c>
      <c r="AM68" s="107" t="s">
        <v>239</v>
      </c>
      <c r="AN68" s="130">
        <v>80</v>
      </c>
      <c r="AO68" s="159">
        <f t="shared" si="48"/>
        <v>64</v>
      </c>
      <c r="AP68" s="119">
        <v>35</v>
      </c>
      <c r="AQ68" s="131">
        <v>0.8</v>
      </c>
      <c r="AR68" s="107" t="s">
        <v>239</v>
      </c>
      <c r="AS68" s="130">
        <v>80</v>
      </c>
      <c r="AT68" s="159">
        <f t="shared" si="49"/>
        <v>64</v>
      </c>
      <c r="AU68" s="119">
        <v>35</v>
      </c>
      <c r="AV68" s="131">
        <v>0.8</v>
      </c>
      <c r="AW68" s="107" t="s">
        <v>239</v>
      </c>
      <c r="AX68" s="130">
        <v>80</v>
      </c>
      <c r="AY68" s="159">
        <f t="shared" si="50"/>
        <v>64</v>
      </c>
      <c r="AZ68" s="119">
        <v>35</v>
      </c>
      <c r="BA68" s="131">
        <v>0.8</v>
      </c>
      <c r="BB68" s="107" t="s">
        <v>239</v>
      </c>
      <c r="BC68" s="130">
        <v>80</v>
      </c>
      <c r="BD68" s="159">
        <f t="shared" si="51"/>
        <v>64</v>
      </c>
      <c r="BE68" s="119">
        <v>35</v>
      </c>
      <c r="BF68" s="131">
        <v>0.8</v>
      </c>
      <c r="BG68" s="107" t="s">
        <v>239</v>
      </c>
      <c r="BH68" s="130">
        <v>80</v>
      </c>
      <c r="BI68" s="159">
        <f t="shared" si="52"/>
        <v>64</v>
      </c>
      <c r="BJ68" s="119">
        <v>35</v>
      </c>
      <c r="BK68" s="131">
        <v>0.8</v>
      </c>
    </row>
    <row r="69" spans="1:63" ht="10" customHeight="1" x14ac:dyDescent="0.55000000000000004">
      <c r="B69" s="350"/>
      <c r="C69" s="191"/>
      <c r="D69" s="49"/>
      <c r="E69" s="49"/>
      <c r="F69" s="50"/>
      <c r="G69" s="357"/>
      <c r="H69" s="93"/>
      <c r="I69" s="93"/>
      <c r="J69" s="89"/>
      <c r="K69" s="91"/>
      <c r="L69" s="91"/>
      <c r="M69" s="91"/>
      <c r="N69" s="89"/>
      <c r="O69" s="89"/>
      <c r="P69" s="89"/>
      <c r="Q69" s="91"/>
      <c r="R69" s="89"/>
      <c r="S69" s="91" t="s">
        <v>367</v>
      </c>
      <c r="T69" s="124">
        <v>20</v>
      </c>
      <c r="U69" s="160">
        <f t="shared" si="45"/>
        <v>10</v>
      </c>
      <c r="V69" s="120">
        <v>12</v>
      </c>
      <c r="W69" s="109">
        <v>0.5</v>
      </c>
      <c r="X69" s="91" t="s">
        <v>367</v>
      </c>
      <c r="Y69" s="124">
        <v>20</v>
      </c>
      <c r="Z69" s="160">
        <f t="shared" si="53"/>
        <v>10</v>
      </c>
      <c r="AA69" s="120">
        <v>12</v>
      </c>
      <c r="AB69" s="109">
        <v>0.5</v>
      </c>
      <c r="AC69" s="91" t="s">
        <v>367</v>
      </c>
      <c r="AD69" s="124">
        <v>20</v>
      </c>
      <c r="AE69" s="160">
        <f t="shared" si="46"/>
        <v>10</v>
      </c>
      <c r="AF69" s="120">
        <v>12</v>
      </c>
      <c r="AG69" s="109">
        <v>0.5</v>
      </c>
      <c r="AH69" s="91" t="s">
        <v>367</v>
      </c>
      <c r="AI69" s="124">
        <v>20</v>
      </c>
      <c r="AJ69" s="160">
        <f t="shared" si="47"/>
        <v>10</v>
      </c>
      <c r="AK69" s="120">
        <v>12</v>
      </c>
      <c r="AL69" s="109">
        <v>0.5</v>
      </c>
      <c r="AM69" s="91" t="s">
        <v>367</v>
      </c>
      <c r="AN69" s="124">
        <v>20</v>
      </c>
      <c r="AO69" s="160">
        <f t="shared" si="48"/>
        <v>12</v>
      </c>
      <c r="AP69" s="120">
        <v>12</v>
      </c>
      <c r="AQ69" s="109">
        <v>0.6</v>
      </c>
      <c r="AR69" s="91" t="s">
        <v>367</v>
      </c>
      <c r="AS69" s="124">
        <v>20</v>
      </c>
      <c r="AT69" s="160">
        <f t="shared" si="49"/>
        <v>12</v>
      </c>
      <c r="AU69" s="120">
        <v>12</v>
      </c>
      <c r="AV69" s="109">
        <v>0.6</v>
      </c>
      <c r="AW69" s="91" t="s">
        <v>367</v>
      </c>
      <c r="AX69" s="124">
        <v>20</v>
      </c>
      <c r="AY69" s="160">
        <f t="shared" si="50"/>
        <v>13</v>
      </c>
      <c r="AZ69" s="120">
        <v>12</v>
      </c>
      <c r="BA69" s="109">
        <v>0.65</v>
      </c>
      <c r="BB69" s="91" t="s">
        <v>367</v>
      </c>
      <c r="BC69" s="124">
        <v>20</v>
      </c>
      <c r="BD69" s="160">
        <f t="shared" si="51"/>
        <v>13</v>
      </c>
      <c r="BE69" s="120">
        <v>12</v>
      </c>
      <c r="BF69" s="109">
        <v>0.65</v>
      </c>
      <c r="BG69" s="91" t="s">
        <v>367</v>
      </c>
      <c r="BH69" s="124">
        <v>20</v>
      </c>
      <c r="BI69" s="160">
        <f t="shared" si="52"/>
        <v>14</v>
      </c>
      <c r="BJ69" s="120">
        <v>12</v>
      </c>
      <c r="BK69" s="109">
        <v>0.7</v>
      </c>
    </row>
    <row r="70" spans="1:63" ht="10" customHeight="1" x14ac:dyDescent="0.55000000000000004">
      <c r="B70" s="350"/>
      <c r="C70" s="191" t="s">
        <v>192</v>
      </c>
      <c r="D70" s="49"/>
      <c r="E70" s="49"/>
      <c r="F70" s="50">
        <v>200</v>
      </c>
      <c r="G70" s="49" t="s">
        <v>192</v>
      </c>
      <c r="H70" s="49"/>
      <c r="I70" s="49"/>
      <c r="J70" s="50">
        <v>200</v>
      </c>
      <c r="K70" s="49" t="s">
        <v>192</v>
      </c>
      <c r="L70" s="49"/>
      <c r="M70" s="49"/>
      <c r="N70" s="50">
        <v>200</v>
      </c>
      <c r="O70" s="50"/>
      <c r="P70" s="50"/>
      <c r="Q70" s="49" t="s">
        <v>192</v>
      </c>
      <c r="R70" s="50">
        <v>200</v>
      </c>
      <c r="S70" s="107" t="s">
        <v>244</v>
      </c>
      <c r="T70" s="130">
        <v>100</v>
      </c>
      <c r="U70" s="159">
        <f t="shared" si="45"/>
        <v>20</v>
      </c>
      <c r="V70" s="119">
        <v>12</v>
      </c>
      <c r="W70" s="131">
        <v>0.2</v>
      </c>
      <c r="X70" s="107" t="s">
        <v>244</v>
      </c>
      <c r="Y70" s="130">
        <v>100</v>
      </c>
      <c r="Z70" s="159">
        <f t="shared" si="53"/>
        <v>25</v>
      </c>
      <c r="AA70" s="119">
        <v>12</v>
      </c>
      <c r="AB70" s="131">
        <v>0.25</v>
      </c>
      <c r="AC70" s="107" t="s">
        <v>244</v>
      </c>
      <c r="AD70" s="130">
        <v>100</v>
      </c>
      <c r="AE70" s="159">
        <f t="shared" si="46"/>
        <v>30</v>
      </c>
      <c r="AF70" s="119">
        <v>12</v>
      </c>
      <c r="AG70" s="131">
        <v>0.3</v>
      </c>
      <c r="AH70" s="107" t="s">
        <v>244</v>
      </c>
      <c r="AI70" s="130">
        <v>100</v>
      </c>
      <c r="AJ70" s="159">
        <f t="shared" si="47"/>
        <v>35</v>
      </c>
      <c r="AK70" s="119">
        <v>12</v>
      </c>
      <c r="AL70" s="131">
        <v>0.35</v>
      </c>
      <c r="AM70" s="107" t="s">
        <v>244</v>
      </c>
      <c r="AN70" s="130">
        <v>100</v>
      </c>
      <c r="AO70" s="159">
        <f t="shared" si="48"/>
        <v>40</v>
      </c>
      <c r="AP70" s="119">
        <v>12</v>
      </c>
      <c r="AQ70" s="131">
        <v>0.4</v>
      </c>
      <c r="AR70" s="107" t="s">
        <v>244</v>
      </c>
      <c r="AS70" s="130">
        <v>100</v>
      </c>
      <c r="AT70" s="159">
        <f t="shared" si="49"/>
        <v>45</v>
      </c>
      <c r="AU70" s="119">
        <v>12</v>
      </c>
      <c r="AV70" s="131">
        <v>0.45</v>
      </c>
      <c r="AW70" s="107" t="s">
        <v>244</v>
      </c>
      <c r="AX70" s="130">
        <v>100</v>
      </c>
      <c r="AY70" s="159">
        <f t="shared" si="50"/>
        <v>55</v>
      </c>
      <c r="AZ70" s="119">
        <v>12</v>
      </c>
      <c r="BA70" s="131">
        <v>0.55000000000000004</v>
      </c>
      <c r="BB70" s="107" t="s">
        <v>244</v>
      </c>
      <c r="BC70" s="130">
        <v>100</v>
      </c>
      <c r="BD70" s="159">
        <f t="shared" si="51"/>
        <v>60</v>
      </c>
      <c r="BE70" s="119">
        <v>12</v>
      </c>
      <c r="BF70" s="131">
        <v>0.6</v>
      </c>
      <c r="BG70" s="107" t="s">
        <v>244</v>
      </c>
      <c r="BH70" s="130">
        <v>100</v>
      </c>
      <c r="BI70" s="159">
        <f t="shared" si="52"/>
        <v>65</v>
      </c>
      <c r="BJ70" s="119">
        <v>12</v>
      </c>
      <c r="BK70" s="131">
        <v>0.65</v>
      </c>
    </row>
    <row r="71" spans="1:63" ht="10" customHeight="1" x14ac:dyDescent="0.55000000000000004">
      <c r="B71" s="350"/>
      <c r="C71" s="191"/>
      <c r="D71" s="49"/>
      <c r="E71" s="49"/>
      <c r="F71" s="50"/>
      <c r="G71" s="49"/>
      <c r="H71" s="49"/>
      <c r="I71" s="49"/>
      <c r="J71" s="50"/>
      <c r="K71" s="49"/>
      <c r="L71" s="49"/>
      <c r="M71" s="49"/>
      <c r="N71" s="50"/>
      <c r="O71" s="50"/>
      <c r="P71" s="50"/>
      <c r="Q71" s="49"/>
      <c r="R71" s="50"/>
      <c r="S71" s="91" t="s">
        <v>245</v>
      </c>
      <c r="T71" s="124">
        <v>100</v>
      </c>
      <c r="U71" s="160">
        <f t="shared" si="45"/>
        <v>0</v>
      </c>
      <c r="V71" s="120">
        <v>0</v>
      </c>
      <c r="W71" s="109">
        <v>0</v>
      </c>
      <c r="X71" s="91" t="s">
        <v>245</v>
      </c>
      <c r="Y71" s="124">
        <v>100</v>
      </c>
      <c r="Z71" s="160">
        <f t="shared" si="53"/>
        <v>10</v>
      </c>
      <c r="AA71" s="120">
        <v>0</v>
      </c>
      <c r="AB71" s="109">
        <v>0.1</v>
      </c>
      <c r="AC71" s="91" t="s">
        <v>245</v>
      </c>
      <c r="AD71" s="124">
        <v>100</v>
      </c>
      <c r="AE71" s="160">
        <f t="shared" si="46"/>
        <v>20</v>
      </c>
      <c r="AF71" s="120">
        <v>0</v>
      </c>
      <c r="AG71" s="109">
        <v>0.2</v>
      </c>
      <c r="AH71" s="91" t="s">
        <v>245</v>
      </c>
      <c r="AI71" s="124">
        <v>100</v>
      </c>
      <c r="AJ71" s="160">
        <f t="shared" si="47"/>
        <v>30</v>
      </c>
      <c r="AK71" s="120">
        <v>0</v>
      </c>
      <c r="AL71" s="109">
        <v>0.3</v>
      </c>
      <c r="AM71" s="91" t="s">
        <v>245</v>
      </c>
      <c r="AN71" s="124">
        <v>100</v>
      </c>
      <c r="AO71" s="160">
        <f t="shared" si="48"/>
        <v>40</v>
      </c>
      <c r="AP71" s="120">
        <v>0</v>
      </c>
      <c r="AQ71" s="109">
        <v>0.4</v>
      </c>
      <c r="AR71" s="91" t="s">
        <v>245</v>
      </c>
      <c r="AS71" s="124">
        <v>100</v>
      </c>
      <c r="AT71" s="160">
        <f t="shared" si="49"/>
        <v>45</v>
      </c>
      <c r="AU71" s="120">
        <v>10</v>
      </c>
      <c r="AV71" s="109">
        <v>0.45</v>
      </c>
      <c r="AW71" s="91" t="s">
        <v>245</v>
      </c>
      <c r="AX71" s="124">
        <v>100</v>
      </c>
      <c r="AY71" s="160">
        <f t="shared" si="50"/>
        <v>50</v>
      </c>
      <c r="AZ71" s="120">
        <v>10</v>
      </c>
      <c r="BA71" s="109">
        <v>0.5</v>
      </c>
      <c r="BB71" s="91" t="s">
        <v>245</v>
      </c>
      <c r="BC71" s="124">
        <v>100</v>
      </c>
      <c r="BD71" s="160">
        <f t="shared" si="51"/>
        <v>55</v>
      </c>
      <c r="BE71" s="120">
        <v>15</v>
      </c>
      <c r="BF71" s="109">
        <v>0.55000000000000004</v>
      </c>
      <c r="BG71" s="91" t="s">
        <v>245</v>
      </c>
      <c r="BH71" s="124">
        <v>100</v>
      </c>
      <c r="BI71" s="160">
        <f t="shared" si="52"/>
        <v>60</v>
      </c>
      <c r="BJ71" s="120">
        <v>15</v>
      </c>
      <c r="BK71" s="109">
        <v>0.6</v>
      </c>
    </row>
    <row r="72" spans="1:63" ht="10" customHeight="1" x14ac:dyDescent="0.55000000000000004">
      <c r="B72" s="350"/>
      <c r="C72" s="191"/>
      <c r="D72" s="49"/>
      <c r="E72" s="49"/>
      <c r="F72" s="50"/>
      <c r="G72" s="49"/>
      <c r="H72" s="49"/>
      <c r="I72" s="49"/>
      <c r="J72" s="50"/>
      <c r="K72" s="49"/>
      <c r="L72" s="49"/>
      <c r="M72" s="49"/>
      <c r="N72" s="50"/>
      <c r="O72" s="50"/>
      <c r="P72" s="50"/>
      <c r="Q72" s="49"/>
      <c r="R72" s="50"/>
      <c r="S72" s="107" t="s">
        <v>128</v>
      </c>
      <c r="T72" s="130">
        <v>100</v>
      </c>
      <c r="U72" s="159">
        <f t="shared" si="45"/>
        <v>20</v>
      </c>
      <c r="V72" s="119">
        <v>10</v>
      </c>
      <c r="W72" s="131">
        <v>0.2</v>
      </c>
      <c r="X72" s="107" t="s">
        <v>128</v>
      </c>
      <c r="Y72" s="130">
        <v>100</v>
      </c>
      <c r="Z72" s="159">
        <f t="shared" si="53"/>
        <v>25</v>
      </c>
      <c r="AA72" s="119">
        <v>10</v>
      </c>
      <c r="AB72" s="131">
        <v>0.25</v>
      </c>
      <c r="AC72" s="107" t="s">
        <v>128</v>
      </c>
      <c r="AD72" s="130">
        <v>100</v>
      </c>
      <c r="AE72" s="159">
        <f t="shared" si="46"/>
        <v>30</v>
      </c>
      <c r="AF72" s="119">
        <v>10</v>
      </c>
      <c r="AG72" s="131">
        <v>0.3</v>
      </c>
      <c r="AH72" s="107" t="s">
        <v>128</v>
      </c>
      <c r="AI72" s="130">
        <v>100</v>
      </c>
      <c r="AJ72" s="159">
        <f t="shared" si="47"/>
        <v>35</v>
      </c>
      <c r="AK72" s="119">
        <v>10</v>
      </c>
      <c r="AL72" s="131">
        <v>0.35</v>
      </c>
      <c r="AM72" s="107" t="s">
        <v>128</v>
      </c>
      <c r="AN72" s="130">
        <v>100</v>
      </c>
      <c r="AO72" s="159">
        <f t="shared" si="48"/>
        <v>40</v>
      </c>
      <c r="AP72" s="119">
        <v>10</v>
      </c>
      <c r="AQ72" s="131">
        <v>0.4</v>
      </c>
      <c r="AR72" s="107" t="s">
        <v>128</v>
      </c>
      <c r="AS72" s="130">
        <v>100</v>
      </c>
      <c r="AT72" s="159">
        <f t="shared" si="49"/>
        <v>45</v>
      </c>
      <c r="AU72" s="119">
        <v>10</v>
      </c>
      <c r="AV72" s="131">
        <v>0.45</v>
      </c>
      <c r="AW72" s="107" t="s">
        <v>128</v>
      </c>
      <c r="AX72" s="130">
        <v>100</v>
      </c>
      <c r="AY72" s="159">
        <f t="shared" si="50"/>
        <v>55</v>
      </c>
      <c r="AZ72" s="119">
        <v>10</v>
      </c>
      <c r="BA72" s="131">
        <v>0.55000000000000004</v>
      </c>
      <c r="BB72" s="107" t="s">
        <v>128</v>
      </c>
      <c r="BC72" s="130">
        <v>100</v>
      </c>
      <c r="BD72" s="159">
        <f t="shared" si="51"/>
        <v>60</v>
      </c>
      <c r="BE72" s="119">
        <v>10</v>
      </c>
      <c r="BF72" s="131">
        <v>0.6</v>
      </c>
      <c r="BG72" s="107" t="s">
        <v>128</v>
      </c>
      <c r="BH72" s="130">
        <v>100</v>
      </c>
      <c r="BI72" s="159">
        <f t="shared" si="52"/>
        <v>65</v>
      </c>
      <c r="BJ72" s="119">
        <v>10</v>
      </c>
      <c r="BK72" s="131">
        <v>0.65</v>
      </c>
    </row>
    <row r="73" spans="1:63" ht="11.5" customHeight="1" x14ac:dyDescent="0.55000000000000004">
      <c r="B73" s="350"/>
      <c r="S73" s="91" t="s">
        <v>368</v>
      </c>
      <c r="T73" s="124">
        <v>100</v>
      </c>
      <c r="U73" s="160">
        <f t="shared" si="45"/>
        <v>20</v>
      </c>
      <c r="V73" s="120">
        <v>8</v>
      </c>
      <c r="W73" s="109">
        <v>0.2</v>
      </c>
      <c r="X73" s="91" t="s">
        <v>368</v>
      </c>
      <c r="Y73" s="124">
        <v>100</v>
      </c>
      <c r="Z73" s="160">
        <f t="shared" si="53"/>
        <v>25</v>
      </c>
      <c r="AA73" s="120">
        <v>8</v>
      </c>
      <c r="AB73" s="109">
        <v>0.25</v>
      </c>
      <c r="AC73" s="91" t="s">
        <v>368</v>
      </c>
      <c r="AD73" s="124">
        <v>100</v>
      </c>
      <c r="AE73" s="160">
        <f t="shared" si="46"/>
        <v>30</v>
      </c>
      <c r="AF73" s="120">
        <v>8</v>
      </c>
      <c r="AG73" s="109">
        <v>0.3</v>
      </c>
      <c r="AH73" s="91" t="s">
        <v>368</v>
      </c>
      <c r="AI73" s="124">
        <v>100</v>
      </c>
      <c r="AJ73" s="160">
        <f t="shared" si="47"/>
        <v>35</v>
      </c>
      <c r="AK73" s="120">
        <v>10</v>
      </c>
      <c r="AL73" s="109">
        <v>0.35</v>
      </c>
      <c r="AM73" s="91" t="s">
        <v>368</v>
      </c>
      <c r="AN73" s="124">
        <v>100</v>
      </c>
      <c r="AO73" s="160">
        <f t="shared" si="48"/>
        <v>40</v>
      </c>
      <c r="AP73" s="120">
        <v>10</v>
      </c>
      <c r="AQ73" s="109">
        <v>0.4</v>
      </c>
      <c r="AR73" s="91" t="s">
        <v>368</v>
      </c>
      <c r="AS73" s="124">
        <v>100</v>
      </c>
      <c r="AT73" s="160">
        <f t="shared" si="49"/>
        <v>45</v>
      </c>
      <c r="AU73" s="120">
        <v>10</v>
      </c>
      <c r="AV73" s="109">
        <v>0.45</v>
      </c>
      <c r="AW73" s="91" t="s">
        <v>368</v>
      </c>
      <c r="AX73" s="124">
        <v>100</v>
      </c>
      <c r="AY73" s="160">
        <f t="shared" si="50"/>
        <v>55</v>
      </c>
      <c r="AZ73" s="120">
        <v>15</v>
      </c>
      <c r="BA73" s="109">
        <v>0.55000000000000004</v>
      </c>
      <c r="BB73" s="91" t="s">
        <v>368</v>
      </c>
      <c r="BC73" s="124">
        <v>100</v>
      </c>
      <c r="BD73" s="160">
        <f t="shared" si="51"/>
        <v>60</v>
      </c>
      <c r="BE73" s="120">
        <v>15</v>
      </c>
      <c r="BF73" s="109">
        <v>0.6</v>
      </c>
      <c r="BG73" s="91" t="s">
        <v>368</v>
      </c>
      <c r="BH73" s="124">
        <v>100</v>
      </c>
      <c r="BI73" s="160">
        <f t="shared" si="52"/>
        <v>65</v>
      </c>
      <c r="BJ73" s="120">
        <v>15</v>
      </c>
      <c r="BK73" s="109">
        <v>0.65</v>
      </c>
    </row>
    <row r="74" spans="1:63" ht="10" customHeight="1" x14ac:dyDescent="0.55000000000000004"/>
    <row r="75" spans="1:63" ht="10" customHeight="1" x14ac:dyDescent="0.55000000000000004">
      <c r="S75" s="352" t="s">
        <v>8</v>
      </c>
      <c r="T75" s="353"/>
      <c r="U75" s="353"/>
      <c r="V75" s="353"/>
      <c r="W75" s="353"/>
      <c r="X75" s="352" t="s">
        <v>10</v>
      </c>
      <c r="Y75" s="353"/>
      <c r="Z75" s="353"/>
      <c r="AA75" s="353"/>
      <c r="AB75" s="354"/>
      <c r="AC75" s="352" t="s">
        <v>11</v>
      </c>
      <c r="AD75" s="353"/>
      <c r="AE75" s="353"/>
      <c r="AF75" s="353"/>
      <c r="AG75" s="354"/>
      <c r="AH75" s="352" t="s">
        <v>12</v>
      </c>
      <c r="AI75" s="353"/>
      <c r="AJ75" s="353"/>
      <c r="AK75" s="353"/>
      <c r="AL75" s="354"/>
      <c r="AM75" s="352" t="s">
        <v>13</v>
      </c>
      <c r="AN75" s="353"/>
      <c r="AO75" s="353"/>
      <c r="AP75" s="353"/>
      <c r="AQ75" s="354"/>
      <c r="AR75" s="352" t="s">
        <v>14</v>
      </c>
      <c r="AS75" s="353"/>
      <c r="AT75" s="353"/>
      <c r="AU75" s="353"/>
      <c r="AV75" s="354"/>
      <c r="AW75" s="352" t="s">
        <v>15</v>
      </c>
      <c r="AX75" s="353"/>
      <c r="AY75" s="353"/>
      <c r="AZ75" s="353"/>
      <c r="BA75" s="354"/>
      <c r="BB75" s="352" t="s">
        <v>16</v>
      </c>
      <c r="BC75" s="353"/>
      <c r="BD75" s="353"/>
      <c r="BE75" s="353"/>
      <c r="BF75" s="354"/>
      <c r="BG75" s="352" t="s">
        <v>4</v>
      </c>
      <c r="BH75" s="353"/>
      <c r="BI75" s="353"/>
      <c r="BJ75" s="353"/>
      <c r="BK75" s="354"/>
    </row>
    <row r="76" spans="1:63" ht="10" customHeight="1" x14ac:dyDescent="0.55000000000000004">
      <c r="S76" s="156" t="s">
        <v>385</v>
      </c>
      <c r="T76" s="156" t="s">
        <v>386</v>
      </c>
      <c r="U76" s="156" t="s">
        <v>384</v>
      </c>
      <c r="V76" s="156" t="s">
        <v>392</v>
      </c>
      <c r="W76" s="156" t="s">
        <v>383</v>
      </c>
      <c r="X76" s="156" t="s">
        <v>385</v>
      </c>
      <c r="Y76" s="156" t="s">
        <v>386</v>
      </c>
      <c r="Z76" s="156" t="s">
        <v>384</v>
      </c>
      <c r="AA76" s="156" t="s">
        <v>392</v>
      </c>
      <c r="AB76" s="156" t="s">
        <v>383</v>
      </c>
      <c r="AC76" s="156" t="s">
        <v>385</v>
      </c>
      <c r="AD76" s="156" t="s">
        <v>386</v>
      </c>
      <c r="AE76" s="156" t="s">
        <v>384</v>
      </c>
      <c r="AF76" s="156" t="s">
        <v>392</v>
      </c>
      <c r="AG76" s="156" t="s">
        <v>383</v>
      </c>
      <c r="AH76" s="156" t="s">
        <v>385</v>
      </c>
      <c r="AI76" s="156" t="s">
        <v>386</v>
      </c>
      <c r="AJ76" s="156" t="s">
        <v>384</v>
      </c>
      <c r="AK76" s="156" t="s">
        <v>392</v>
      </c>
      <c r="AL76" s="156" t="s">
        <v>383</v>
      </c>
      <c r="AM76" s="156" t="s">
        <v>385</v>
      </c>
      <c r="AN76" s="156" t="s">
        <v>386</v>
      </c>
      <c r="AO76" s="156" t="s">
        <v>384</v>
      </c>
      <c r="AP76" s="156" t="s">
        <v>392</v>
      </c>
      <c r="AQ76" s="156" t="s">
        <v>383</v>
      </c>
      <c r="AR76" s="156" t="s">
        <v>385</v>
      </c>
      <c r="AS76" s="156" t="s">
        <v>386</v>
      </c>
      <c r="AT76" s="156" t="s">
        <v>384</v>
      </c>
      <c r="AU76" s="156" t="s">
        <v>392</v>
      </c>
      <c r="AV76" s="156" t="s">
        <v>383</v>
      </c>
      <c r="AW76" s="156" t="s">
        <v>385</v>
      </c>
      <c r="AX76" s="156" t="s">
        <v>386</v>
      </c>
      <c r="AY76" s="156" t="s">
        <v>384</v>
      </c>
      <c r="AZ76" s="156" t="s">
        <v>392</v>
      </c>
      <c r="BA76" s="156" t="s">
        <v>383</v>
      </c>
      <c r="BB76" s="156" t="s">
        <v>385</v>
      </c>
      <c r="BC76" s="156" t="s">
        <v>386</v>
      </c>
      <c r="BD76" s="156" t="s">
        <v>384</v>
      </c>
      <c r="BE76" s="156" t="s">
        <v>392</v>
      </c>
      <c r="BF76" s="156" t="s">
        <v>383</v>
      </c>
      <c r="BG76" s="156" t="s">
        <v>385</v>
      </c>
      <c r="BH76" s="156" t="s">
        <v>386</v>
      </c>
      <c r="BI76" s="156" t="s">
        <v>384</v>
      </c>
      <c r="BJ76" s="156" t="s">
        <v>392</v>
      </c>
      <c r="BK76" s="156" t="s">
        <v>383</v>
      </c>
    </row>
    <row r="77" spans="1:63" ht="10" customHeight="1" x14ac:dyDescent="0.55000000000000004">
      <c r="B77" s="206" t="s">
        <v>404</v>
      </c>
      <c r="S77" s="157">
        <f>COUNTA(S52:S73)*0.25</f>
        <v>5.5</v>
      </c>
      <c r="T77" s="113">
        <f>SUM(T52:T73)</f>
        <v>1425</v>
      </c>
      <c r="U77" s="113">
        <f>ROUND(SUM(U52:U73),0)</f>
        <v>562</v>
      </c>
      <c r="V77" s="158">
        <f>SUM(V52:V73)</f>
        <v>293</v>
      </c>
      <c r="W77" s="97">
        <f>AVERAGE(W52:W73)</f>
        <v>0.44999999999999996</v>
      </c>
      <c r="X77" s="157">
        <f>COUNTA(X52:X73)*0.25</f>
        <v>5.5</v>
      </c>
      <c r="Y77" s="113">
        <f>ROUND(SUM(Y52:Y73)*AB77,0)</f>
        <v>658</v>
      </c>
      <c r="Z77" s="113">
        <f>ROUND(SUM(Z52:Z73),0)</f>
        <v>591</v>
      </c>
      <c r="AA77" s="158">
        <f>SUM(AA52:AA73)</f>
        <v>293</v>
      </c>
      <c r="AB77" s="97">
        <f>AVERAGE(AB52:AB73)</f>
        <v>0.47499999999999998</v>
      </c>
      <c r="AC77" s="157">
        <f>COUNTA(AC52:AC73)*0.25</f>
        <v>5.5</v>
      </c>
      <c r="AD77" s="113">
        <f>ROUND(SUM(AD52:AD73)*AG77,0)</f>
        <v>674</v>
      </c>
      <c r="AE77" s="113">
        <f>ROUND(SUM(AE52:AE73),0)</f>
        <v>648</v>
      </c>
      <c r="AF77" s="158">
        <f>SUM(AF52:AF73)</f>
        <v>296</v>
      </c>
      <c r="AG77" s="97">
        <f>AVERAGE(AG52:AG73)</f>
        <v>0.4863636363636365</v>
      </c>
      <c r="AH77" s="157">
        <f>COUNTA(AH52:AH73)*0.25</f>
        <v>5.5</v>
      </c>
      <c r="AI77" s="113">
        <f>ROUND(SUM(AI52:AI73)*AL77,0)</f>
        <v>759</v>
      </c>
      <c r="AJ77" s="113">
        <f>ROUND(SUM(AJ52:AJ73),0)</f>
        <v>712</v>
      </c>
      <c r="AK77" s="158">
        <f>SUM(AK52:AK73)</f>
        <v>312</v>
      </c>
      <c r="AL77" s="97">
        <f>AVERAGE(AL52:AL73)</f>
        <v>0.54772727272727273</v>
      </c>
      <c r="AM77" s="157">
        <f>COUNTA(AM52:AM73)*0.25</f>
        <v>5.5</v>
      </c>
      <c r="AN77" s="113">
        <f>ROUND(SUM(AN52:AN73)*AQ77,0)</f>
        <v>812</v>
      </c>
      <c r="AO77" s="113">
        <f>ROUND(SUM(AO52:AO73),0)</f>
        <v>768</v>
      </c>
      <c r="AP77" s="158">
        <f>SUM(AP52:AP73)</f>
        <v>307</v>
      </c>
      <c r="AQ77" s="97">
        <f>AVERAGE(AQ52:AQ73)</f>
        <v>0.58636363636363642</v>
      </c>
      <c r="AR77" s="157">
        <f>COUNTA(AR52:AR73)*0.25</f>
        <v>5.5</v>
      </c>
      <c r="AS77" s="113">
        <f>ROUND(SUM(AS52:AS73)*AV77,0)</f>
        <v>852</v>
      </c>
      <c r="AT77" s="113">
        <f>ROUND(SUM(AT52:AT73),0)</f>
        <v>816</v>
      </c>
      <c r="AU77" s="158">
        <f>SUM(AU52:AU73)</f>
        <v>317</v>
      </c>
      <c r="AV77" s="97">
        <f>AVERAGE(AV52:AV73)</f>
        <v>0.60227272727272718</v>
      </c>
      <c r="AW77" s="157">
        <f>COUNTA(AW52:AW73)*0.25</f>
        <v>5.5</v>
      </c>
      <c r="AX77" s="113">
        <f>ROUND(SUM(AX52:AX73)*BA77,0)</f>
        <v>897</v>
      </c>
      <c r="AY77" s="113">
        <f>ROUND(SUM(AY52:AY73),0)</f>
        <v>870</v>
      </c>
      <c r="AZ77" s="158">
        <f>SUM(AZ52:AZ73)</f>
        <v>322</v>
      </c>
      <c r="BA77" s="97">
        <f>AVERAGE(BA52:BA73)</f>
        <v>0.64772727272727293</v>
      </c>
      <c r="BB77" s="157">
        <f>COUNTA(BB52:BB73)*0.25</f>
        <v>5.5</v>
      </c>
      <c r="BC77" s="113">
        <f>ROUND(SUM(BC52:BC73)*BF77,0)</f>
        <v>929</v>
      </c>
      <c r="BD77" s="113">
        <f>ROUND(SUM(BD52:BD73),0)</f>
        <v>909</v>
      </c>
      <c r="BE77" s="158">
        <f>SUM(BE52:BE73)</f>
        <v>327</v>
      </c>
      <c r="BF77" s="97">
        <f>AVERAGE(BF52:BF73)</f>
        <v>0.67045454545454564</v>
      </c>
      <c r="BG77" s="157">
        <f>COUNTA(BG52:BG73)*0.25</f>
        <v>5.5</v>
      </c>
      <c r="BH77" s="113">
        <f>ROUND(SUM(BH52:BH73)*BK77,0)</f>
        <v>970</v>
      </c>
      <c r="BI77" s="113">
        <f>ROUND(SUM(BI52:BI73),0)</f>
        <v>951</v>
      </c>
      <c r="BJ77" s="158">
        <f>SUM(BJ52:BJ73)</f>
        <v>327</v>
      </c>
      <c r="BK77" s="97">
        <f>AVERAGE(BK52:BK73)</f>
        <v>0.70000000000000007</v>
      </c>
    </row>
    <row r="78" spans="1:63" ht="10" customHeight="1" x14ac:dyDescent="0.55000000000000004"/>
    <row r="79" spans="1:63" ht="10" customHeight="1" x14ac:dyDescent="0.55000000000000004">
      <c r="A79" s="348" t="s">
        <v>369</v>
      </c>
      <c r="B79" s="348"/>
      <c r="S79" s="352" t="s">
        <v>8</v>
      </c>
      <c r="T79" s="353"/>
      <c r="U79" s="353"/>
      <c r="V79" s="353"/>
      <c r="W79" s="353"/>
      <c r="X79" s="352" t="s">
        <v>10</v>
      </c>
      <c r="Y79" s="353"/>
      <c r="Z79" s="353"/>
      <c r="AA79" s="353"/>
      <c r="AB79" s="354"/>
      <c r="AC79" s="352" t="s">
        <v>11</v>
      </c>
      <c r="AD79" s="353"/>
      <c r="AE79" s="353"/>
      <c r="AF79" s="353"/>
      <c r="AG79" s="354"/>
      <c r="AH79" s="352" t="s">
        <v>12</v>
      </c>
      <c r="AI79" s="353"/>
      <c r="AJ79" s="353"/>
      <c r="AK79" s="353"/>
      <c r="AL79" s="354"/>
      <c r="AM79" s="352" t="s">
        <v>13</v>
      </c>
      <c r="AN79" s="353"/>
      <c r="AO79" s="353"/>
      <c r="AP79" s="353"/>
      <c r="AQ79" s="354"/>
      <c r="AR79" s="352" t="s">
        <v>14</v>
      </c>
      <c r="AS79" s="353"/>
      <c r="AT79" s="353"/>
      <c r="AU79" s="353"/>
      <c r="AV79" s="354"/>
      <c r="AW79" s="352" t="s">
        <v>15</v>
      </c>
      <c r="AX79" s="353"/>
      <c r="AY79" s="353"/>
      <c r="AZ79" s="353"/>
      <c r="BA79" s="354"/>
      <c r="BB79" s="352" t="s">
        <v>16</v>
      </c>
      <c r="BC79" s="353"/>
      <c r="BD79" s="353"/>
      <c r="BE79" s="353"/>
      <c r="BF79" s="354"/>
      <c r="BG79" s="352" t="s">
        <v>4</v>
      </c>
      <c r="BH79" s="353"/>
      <c r="BI79" s="353"/>
      <c r="BJ79" s="353"/>
      <c r="BK79" s="354"/>
    </row>
    <row r="80" spans="1:63" ht="10" customHeight="1" x14ac:dyDescent="0.55000000000000004">
      <c r="A80" s="348"/>
      <c r="B80" s="348"/>
      <c r="S80" s="156" t="s">
        <v>385</v>
      </c>
      <c r="T80" s="156" t="s">
        <v>386</v>
      </c>
      <c r="U80" s="156" t="s">
        <v>384</v>
      </c>
      <c r="V80" s="156" t="s">
        <v>392</v>
      </c>
      <c r="W80" s="156" t="s">
        <v>383</v>
      </c>
      <c r="X80" s="156" t="s">
        <v>385</v>
      </c>
      <c r="Y80" s="156" t="s">
        <v>386</v>
      </c>
      <c r="Z80" s="156" t="s">
        <v>384</v>
      </c>
      <c r="AA80" s="156" t="s">
        <v>392</v>
      </c>
      <c r="AB80" s="156" t="s">
        <v>383</v>
      </c>
      <c r="AC80" s="156" t="s">
        <v>385</v>
      </c>
      <c r="AD80" s="156" t="s">
        <v>386</v>
      </c>
      <c r="AE80" s="156" t="s">
        <v>384</v>
      </c>
      <c r="AF80" s="156" t="s">
        <v>392</v>
      </c>
      <c r="AG80" s="156" t="s">
        <v>383</v>
      </c>
      <c r="AH80" s="156" t="s">
        <v>385</v>
      </c>
      <c r="AI80" s="156" t="s">
        <v>386</v>
      </c>
      <c r="AJ80" s="156" t="s">
        <v>384</v>
      </c>
      <c r="AK80" s="156" t="s">
        <v>392</v>
      </c>
      <c r="AL80" s="156" t="s">
        <v>383</v>
      </c>
      <c r="AM80" s="156" t="s">
        <v>385</v>
      </c>
      <c r="AN80" s="156" t="s">
        <v>386</v>
      </c>
      <c r="AO80" s="156" t="s">
        <v>384</v>
      </c>
      <c r="AP80" s="156" t="s">
        <v>392</v>
      </c>
      <c r="AQ80" s="156" t="s">
        <v>383</v>
      </c>
      <c r="AR80" s="156" t="s">
        <v>385</v>
      </c>
      <c r="AS80" s="156" t="s">
        <v>386</v>
      </c>
      <c r="AT80" s="156" t="s">
        <v>384</v>
      </c>
      <c r="AU80" s="156" t="s">
        <v>392</v>
      </c>
      <c r="AV80" s="156" t="s">
        <v>383</v>
      </c>
      <c r="AW80" s="156" t="s">
        <v>385</v>
      </c>
      <c r="AX80" s="156" t="s">
        <v>386</v>
      </c>
      <c r="AY80" s="156" t="s">
        <v>384</v>
      </c>
      <c r="AZ80" s="156" t="s">
        <v>392</v>
      </c>
      <c r="BA80" s="156" t="s">
        <v>383</v>
      </c>
      <c r="BB80" s="156" t="s">
        <v>385</v>
      </c>
      <c r="BC80" s="156" t="s">
        <v>386</v>
      </c>
      <c r="BD80" s="156" t="s">
        <v>384</v>
      </c>
      <c r="BE80" s="156" t="s">
        <v>392</v>
      </c>
      <c r="BF80" s="156" t="s">
        <v>383</v>
      </c>
      <c r="BG80" s="156" t="s">
        <v>385</v>
      </c>
      <c r="BH80" s="156" t="s">
        <v>386</v>
      </c>
      <c r="BI80" s="156" t="s">
        <v>384</v>
      </c>
      <c r="BJ80" s="156" t="s">
        <v>392</v>
      </c>
      <c r="BK80" s="156" t="s">
        <v>383</v>
      </c>
    </row>
    <row r="81" spans="19:63" ht="10" customHeight="1" x14ac:dyDescent="0.55000000000000004">
      <c r="S81" s="157">
        <f>ROUND(SUM(S47,S77),0)</f>
        <v>28</v>
      </c>
      <c r="T81" s="113">
        <f>SUM(T47,T77)</f>
        <v>5760</v>
      </c>
      <c r="U81" s="113">
        <f>SUM(U47,U77)</f>
        <v>2490</v>
      </c>
      <c r="V81" s="158">
        <f>SUM(V47,V77)</f>
        <v>933</v>
      </c>
      <c r="W81" s="97">
        <f>AVERAGE(W47,W77)</f>
        <v>0.43981481481481471</v>
      </c>
      <c r="X81" s="157">
        <f>ROUND(SUM(X47,X77),0)</f>
        <v>29</v>
      </c>
      <c r="Y81" s="113">
        <f>SUM(Y47,Y77)</f>
        <v>5053</v>
      </c>
      <c r="Z81" s="113">
        <f>SUM(Z47,Z77)</f>
        <v>2633</v>
      </c>
      <c r="AA81" s="158">
        <f>SUM(AA47,AA77)</f>
        <v>947</v>
      </c>
      <c r="AB81" s="97">
        <f>AVERAGE(AB47,AB77)</f>
        <v>0.46249999999999991</v>
      </c>
      <c r="AC81" s="157">
        <f>ROUND(SUM(AC47,AC77),0)</f>
        <v>30</v>
      </c>
      <c r="AD81" s="113">
        <f>SUM(AD47,AD77)</f>
        <v>5319</v>
      </c>
      <c r="AE81" s="113">
        <f>SUM(AE47,AE77)</f>
        <v>2876</v>
      </c>
      <c r="AF81" s="158">
        <f>SUM(AF47,AF77)</f>
        <v>937</v>
      </c>
      <c r="AG81" s="97">
        <f>AVERAGE(AG47,AG77)</f>
        <v>0.4869318181818183</v>
      </c>
      <c r="AH81" s="157">
        <f>ROUND(SUM(AH47,AH77),0)</f>
        <v>29</v>
      </c>
      <c r="AI81" s="113">
        <f>SUM(AI47,AI77)</f>
        <v>5254</v>
      </c>
      <c r="AJ81" s="113">
        <f>SUM(AJ47,AJ77)</f>
        <v>2973</v>
      </c>
      <c r="AK81" s="158">
        <f>SUM(AK47,AK77)</f>
        <v>948</v>
      </c>
      <c r="AL81" s="97">
        <f>AVERAGE(AL47,AL77)</f>
        <v>0.53636363636363626</v>
      </c>
      <c r="AM81" s="157">
        <f>ROUND(SUM(AM47,AM77),0)</f>
        <v>28</v>
      </c>
      <c r="AN81" s="113">
        <f>SUM(AN47,AN77)</f>
        <v>4957</v>
      </c>
      <c r="AO81" s="113">
        <f>SUM(AO47,AO77)</f>
        <v>3028</v>
      </c>
      <c r="AP81" s="158">
        <f>SUM(AP47,AP77)</f>
        <v>944</v>
      </c>
      <c r="AQ81" s="97">
        <f>AVERAGE(AQ47,AQ77)</f>
        <v>0.57651515151515165</v>
      </c>
      <c r="AR81" s="157">
        <f>ROUND(SUM(AR47,AR77),0)</f>
        <v>28</v>
      </c>
      <c r="AS81" s="113">
        <f>SUM(AS47,AS77)</f>
        <v>4832</v>
      </c>
      <c r="AT81" s="113">
        <f>SUM(AT47,AT77)</f>
        <v>3148</v>
      </c>
      <c r="AU81" s="158">
        <f>SUM(AU47,AU77)</f>
        <v>977</v>
      </c>
      <c r="AV81" s="97">
        <f>AVERAGE(AV47,AV77)</f>
        <v>0.60439723320158101</v>
      </c>
      <c r="AW81" s="157">
        <f>ROUND(SUM(AW47,AW77),0)</f>
        <v>28</v>
      </c>
      <c r="AX81" s="113">
        <f>SUM(AX47,AX77)</f>
        <v>4877</v>
      </c>
      <c r="AY81" s="113">
        <f>SUM(AY47,AY77)</f>
        <v>3436</v>
      </c>
      <c r="AZ81" s="158">
        <f>SUM(AZ47,AZ77)</f>
        <v>989</v>
      </c>
      <c r="BA81" s="97">
        <f>AVERAGE(BA47,BA77)</f>
        <v>0.65538537549407128</v>
      </c>
      <c r="BB81" s="157">
        <f>ROUND(SUM(BB47,BB77),0)</f>
        <v>28</v>
      </c>
      <c r="BC81" s="113">
        <f>SUM(BC47,BC77)</f>
        <v>4909</v>
      </c>
      <c r="BD81" s="113">
        <f>SUM(BD47,BD77)</f>
        <v>3591.25</v>
      </c>
      <c r="BE81" s="158">
        <f>SUM(BE47,BE77)</f>
        <v>1034</v>
      </c>
      <c r="BF81" s="97">
        <f>AVERAGE(BF47,BF77)</f>
        <v>0.6808794466403163</v>
      </c>
      <c r="BG81" s="157">
        <f>ROUND(SUM(BG47,BG77),0)</f>
        <v>28</v>
      </c>
      <c r="BH81" s="113">
        <f>SUM(BH47,BH77)</f>
        <v>4530</v>
      </c>
      <c r="BI81" s="113">
        <f>SUM(BI47,BI77)</f>
        <v>3567.25</v>
      </c>
      <c r="BJ81" s="158">
        <f>SUM(BJ47,BJ77)</f>
        <v>1055</v>
      </c>
      <c r="BK81" s="97">
        <f>AVERAGE(BK47,BK77)</f>
        <v>0.7238095238095239</v>
      </c>
    </row>
    <row r="82" spans="19:63" ht="10" customHeight="1" x14ac:dyDescent="0.55000000000000004"/>
    <row r="83" spans="19:63" ht="10" customHeight="1" x14ac:dyDescent="0.55000000000000004"/>
    <row r="84" spans="19:63" ht="10" customHeight="1" x14ac:dyDescent="0.55000000000000004"/>
    <row r="85" spans="19:63" ht="10" customHeight="1" x14ac:dyDescent="0.55000000000000004"/>
    <row r="86" spans="19:63" ht="10" customHeight="1" x14ac:dyDescent="0.55000000000000004"/>
  </sheetData>
  <mergeCells count="108">
    <mergeCell ref="S79:W79"/>
    <mergeCell ref="X79:AB79"/>
    <mergeCell ref="AC79:AG79"/>
    <mergeCell ref="AH79:AL79"/>
    <mergeCell ref="AM79:AQ79"/>
    <mergeCell ref="AR79:AV79"/>
    <mergeCell ref="AW79:BA79"/>
    <mergeCell ref="BB79:BF79"/>
    <mergeCell ref="BG79:BK79"/>
    <mergeCell ref="B25:B29"/>
    <mergeCell ref="K9:N9"/>
    <mergeCell ref="Q9:R9"/>
    <mergeCell ref="S9:W9"/>
    <mergeCell ref="AC49:AG49"/>
    <mergeCell ref="B30:B31"/>
    <mergeCell ref="AW75:BA75"/>
    <mergeCell ref="BB75:BF75"/>
    <mergeCell ref="BG75:BK75"/>
    <mergeCell ref="AH75:AL75"/>
    <mergeCell ref="AM75:AQ75"/>
    <mergeCell ref="AR75:AV75"/>
    <mergeCell ref="G47:J47"/>
    <mergeCell ref="G45:J45"/>
    <mergeCell ref="K45:N45"/>
    <mergeCell ref="Q45:R45"/>
    <mergeCell ref="S45:W45"/>
    <mergeCell ref="X45:AB45"/>
    <mergeCell ref="G46:J46"/>
    <mergeCell ref="C49:F49"/>
    <mergeCell ref="G49:J49"/>
    <mergeCell ref="A2:B2"/>
    <mergeCell ref="C2:F2"/>
    <mergeCell ref="A6:B6"/>
    <mergeCell ref="C6:F6"/>
    <mergeCell ref="B65:B73"/>
    <mergeCell ref="S75:W75"/>
    <mergeCell ref="X75:AB75"/>
    <mergeCell ref="AC75:AG75"/>
    <mergeCell ref="X3:AB3"/>
    <mergeCell ref="AC3:AG3"/>
    <mergeCell ref="G2:J2"/>
    <mergeCell ref="K2:N2"/>
    <mergeCell ref="Q2:R2"/>
    <mergeCell ref="A3:B3"/>
    <mergeCell ref="C3:F3"/>
    <mergeCell ref="G3:J3"/>
    <mergeCell ref="K3:N3"/>
    <mergeCell ref="Q3:R3"/>
    <mergeCell ref="S3:W3"/>
    <mergeCell ref="G6:J6"/>
    <mergeCell ref="K6:N6"/>
    <mergeCell ref="Q6:R6"/>
    <mergeCell ref="S49:W49"/>
    <mergeCell ref="B52:B64"/>
    <mergeCell ref="BB3:BF3"/>
    <mergeCell ref="AW9:BA9"/>
    <mergeCell ref="BG3:BK3"/>
    <mergeCell ref="A5:B5"/>
    <mergeCell ref="C5:F5"/>
    <mergeCell ref="G5:J5"/>
    <mergeCell ref="K5:N5"/>
    <mergeCell ref="Q5:R5"/>
    <mergeCell ref="A4:B4"/>
    <mergeCell ref="C4:F4"/>
    <mergeCell ref="G4:J4"/>
    <mergeCell ref="K4:N4"/>
    <mergeCell ref="Q4:R4"/>
    <mergeCell ref="X9:AB9"/>
    <mergeCell ref="AC9:AG9"/>
    <mergeCell ref="AH9:AL9"/>
    <mergeCell ref="AM9:AQ9"/>
    <mergeCell ref="AR9:AV9"/>
    <mergeCell ref="C9:F9"/>
    <mergeCell ref="G9:J9"/>
    <mergeCell ref="AH49:AL49"/>
    <mergeCell ref="AM49:AQ49"/>
    <mergeCell ref="X49:AB49"/>
    <mergeCell ref="AW49:BA49"/>
    <mergeCell ref="K49:N49"/>
    <mergeCell ref="Q49:R49"/>
    <mergeCell ref="AH3:AL3"/>
    <mergeCell ref="AM3:AQ3"/>
    <mergeCell ref="AR3:AV3"/>
    <mergeCell ref="AW3:BA3"/>
    <mergeCell ref="B34:B42"/>
    <mergeCell ref="A9:B10"/>
    <mergeCell ref="A49:B50"/>
    <mergeCell ref="A79:B80"/>
    <mergeCell ref="B15:B18"/>
    <mergeCell ref="B19:B24"/>
    <mergeCell ref="B11:B13"/>
    <mergeCell ref="BB9:BF9"/>
    <mergeCell ref="BG9:BK9"/>
    <mergeCell ref="G67:G69"/>
    <mergeCell ref="AW45:BA45"/>
    <mergeCell ref="BB45:BF45"/>
    <mergeCell ref="BG45:BK45"/>
    <mergeCell ref="K47:N47"/>
    <mergeCell ref="Q47:R47"/>
    <mergeCell ref="AR49:AV49"/>
    <mergeCell ref="AC45:AG45"/>
    <mergeCell ref="AH45:AL45"/>
    <mergeCell ref="AM45:AQ45"/>
    <mergeCell ref="AR45:AV45"/>
    <mergeCell ref="BB49:BF49"/>
    <mergeCell ref="BG49:BK49"/>
    <mergeCell ref="K46:N46"/>
    <mergeCell ref="Q46:R46"/>
  </mergeCells>
  <phoneticPr fontId="2"/>
  <pageMargins left="0.25" right="0.25" top="0.75" bottom="0.75" header="0.3" footer="0.3"/>
  <pageSetup paperSize="8" scale="8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B1F1-8F83-4B6B-A03D-4020A932055B}">
  <sheetPr>
    <pageSetUpPr fitToPage="1"/>
  </sheetPr>
  <dimension ref="A1:AD112"/>
  <sheetViews>
    <sheetView topLeftCell="A69" zoomScale="110" zoomScaleNormal="110" workbookViewId="0">
      <selection activeCell="AB105" sqref="AB105"/>
    </sheetView>
  </sheetViews>
  <sheetFormatPr defaultRowHeight="18" x14ac:dyDescent="0.55000000000000004"/>
  <cols>
    <col min="1" max="1" width="4.58203125" customWidth="1"/>
    <col min="2" max="2" width="5.1640625" customWidth="1"/>
    <col min="3" max="3" width="4.58203125" hidden="1" customWidth="1"/>
    <col min="4" max="4" width="4.58203125" style="1" hidden="1" customWidth="1"/>
    <col min="5" max="5" width="4.58203125" style="1" customWidth="1"/>
    <col min="6" max="28" width="4.58203125" customWidth="1"/>
    <col min="29" max="29" width="3.08203125" style="1" customWidth="1"/>
    <col min="30" max="30" width="13.6640625" customWidth="1"/>
  </cols>
  <sheetData>
    <row r="1" spans="1:30" s="75" customFormat="1" ht="21" customHeight="1" thickBot="1" x14ac:dyDescent="0.6">
      <c r="A1" s="74" t="s">
        <v>254</v>
      </c>
      <c r="D1" s="76"/>
      <c r="E1" s="76"/>
      <c r="AC1" s="76"/>
    </row>
    <row r="2" spans="1:30" ht="12" customHeight="1" thickBot="1" x14ac:dyDescent="0.6">
      <c r="A2" s="43"/>
      <c r="E2" s="404" t="s">
        <v>312</v>
      </c>
      <c r="F2" s="405"/>
      <c r="G2" s="405"/>
      <c r="H2" s="405"/>
      <c r="I2" s="405"/>
      <c r="J2" s="406"/>
      <c r="K2" s="404" t="s">
        <v>313</v>
      </c>
      <c r="L2" s="405"/>
      <c r="M2" s="405"/>
      <c r="N2" s="405"/>
      <c r="O2" s="405"/>
      <c r="P2" s="406"/>
      <c r="Q2" s="404" t="s">
        <v>314</v>
      </c>
      <c r="R2" s="405"/>
      <c r="S2" s="405"/>
      <c r="T2" s="405"/>
      <c r="U2" s="405"/>
      <c r="V2" s="406"/>
      <c r="W2" s="404" t="s">
        <v>315</v>
      </c>
      <c r="X2" s="405"/>
      <c r="Y2" s="405"/>
      <c r="Z2" s="405"/>
      <c r="AA2" s="405"/>
      <c r="AB2" s="406"/>
    </row>
    <row r="3" spans="1:30" ht="11" customHeight="1" thickBot="1" x14ac:dyDescent="0.6">
      <c r="A3" s="80" t="s">
        <v>333</v>
      </c>
      <c r="C3" s="402" t="s">
        <v>4</v>
      </c>
      <c r="D3" s="402"/>
      <c r="E3" s="401" t="s">
        <v>5</v>
      </c>
      <c r="F3" s="401"/>
      <c r="G3" s="401" t="s">
        <v>6</v>
      </c>
      <c r="H3" s="401"/>
      <c r="I3" s="401" t="s">
        <v>7</v>
      </c>
      <c r="J3" s="401"/>
      <c r="K3" s="401" t="s">
        <v>8</v>
      </c>
      <c r="L3" s="401"/>
      <c r="M3" s="401" t="s">
        <v>10</v>
      </c>
      <c r="N3" s="401"/>
      <c r="O3" s="401" t="s">
        <v>11</v>
      </c>
      <c r="P3" s="401"/>
      <c r="Q3" s="401" t="s">
        <v>12</v>
      </c>
      <c r="R3" s="401"/>
      <c r="S3" s="401" t="s">
        <v>13</v>
      </c>
      <c r="T3" s="401"/>
      <c r="U3" s="401" t="s">
        <v>14</v>
      </c>
      <c r="V3" s="401"/>
      <c r="W3" s="401" t="s">
        <v>15</v>
      </c>
      <c r="X3" s="401"/>
      <c r="Y3" s="401" t="s">
        <v>16</v>
      </c>
      <c r="Z3" s="401"/>
      <c r="AA3" s="401" t="s">
        <v>4</v>
      </c>
      <c r="AB3" s="401"/>
    </row>
    <row r="4" spans="1:30" ht="15" customHeight="1" thickBot="1" x14ac:dyDescent="0.6">
      <c r="A4" s="391" t="s">
        <v>325</v>
      </c>
      <c r="B4" s="391"/>
      <c r="C4" s="392">
        <f>C47</f>
        <v>17</v>
      </c>
      <c r="D4" s="392"/>
      <c r="E4" s="395">
        <f>SUM(E26,E57)</f>
        <v>26</v>
      </c>
      <c r="F4" s="395"/>
      <c r="G4" s="395">
        <f>SUM(G26,G57)</f>
        <v>26</v>
      </c>
      <c r="H4" s="395"/>
      <c r="I4" s="395">
        <f>SUM(I26,I57)</f>
        <v>24</v>
      </c>
      <c r="J4" s="395"/>
      <c r="K4" s="395">
        <f>SUM(K26,K57)</f>
        <v>27</v>
      </c>
      <c r="L4" s="395"/>
      <c r="M4" s="395">
        <f>SUM(M26,M57)</f>
        <v>26</v>
      </c>
      <c r="N4" s="395"/>
      <c r="O4" s="395">
        <f>SUM(O26,O57)</f>
        <v>29</v>
      </c>
      <c r="P4" s="395"/>
      <c r="Q4" s="395">
        <f>SUM(Q26,Q57)</f>
        <v>29</v>
      </c>
      <c r="R4" s="395"/>
      <c r="S4" s="395">
        <f>SUM(S26,S57)</f>
        <v>29</v>
      </c>
      <c r="T4" s="395"/>
      <c r="U4" s="395">
        <f>SUM(U26,U57)</f>
        <v>29</v>
      </c>
      <c r="V4" s="395"/>
      <c r="W4" s="395">
        <f>SUM(W26,W57)</f>
        <v>29</v>
      </c>
      <c r="X4" s="395"/>
      <c r="Y4" s="395">
        <f>SUM(Y26,Y57)</f>
        <v>28</v>
      </c>
      <c r="Z4" s="395"/>
      <c r="AA4" s="395">
        <f>SUM(AA26,AA57)</f>
        <v>28</v>
      </c>
      <c r="AB4" s="395"/>
    </row>
    <row r="5" spans="1:30" ht="15" customHeight="1" thickBot="1" x14ac:dyDescent="0.6">
      <c r="A5" s="391" t="s">
        <v>17</v>
      </c>
      <c r="B5" s="391"/>
      <c r="C5" s="392">
        <f>C48</f>
        <v>0</v>
      </c>
      <c r="D5" s="392"/>
      <c r="E5" s="390">
        <f>SUM(F26,F57)</f>
        <v>1838</v>
      </c>
      <c r="F5" s="390"/>
      <c r="G5" s="390">
        <f>SUM(H26,H57)</f>
        <v>1838</v>
      </c>
      <c r="H5" s="390"/>
      <c r="I5" s="390">
        <f>SUM(J26,J57)</f>
        <v>1718</v>
      </c>
      <c r="J5" s="390"/>
      <c r="K5" s="390">
        <f>SUM(L26,L57)</f>
        <v>1793</v>
      </c>
      <c r="L5" s="390"/>
      <c r="M5" s="390">
        <f>SUM(N26,N57)</f>
        <v>1793</v>
      </c>
      <c r="N5" s="390"/>
      <c r="O5" s="390">
        <f>SUM(P26,P57)</f>
        <v>1973</v>
      </c>
      <c r="P5" s="390"/>
      <c r="Q5" s="390">
        <f>SUM(R26,R57)</f>
        <v>1973</v>
      </c>
      <c r="R5" s="390"/>
      <c r="S5" s="390">
        <f>SUM(T26,T57)</f>
        <v>1973</v>
      </c>
      <c r="T5" s="390"/>
      <c r="U5" s="390">
        <f>SUM(V26,V57)</f>
        <v>1973</v>
      </c>
      <c r="V5" s="390"/>
      <c r="W5" s="390">
        <f>SUM(V26,V57)</f>
        <v>1973</v>
      </c>
      <c r="X5" s="390"/>
      <c r="Y5" s="390">
        <f>SUM(V26,V57)</f>
        <v>1973</v>
      </c>
      <c r="Z5" s="390"/>
      <c r="AA5" s="390">
        <f>SUM(V26,V57)</f>
        <v>1973</v>
      </c>
      <c r="AB5" s="390"/>
    </row>
    <row r="6" spans="1:30" ht="15" customHeight="1" thickBot="1" x14ac:dyDescent="0.6">
      <c r="A6" s="391" t="s">
        <v>323</v>
      </c>
      <c r="B6" s="391"/>
      <c r="C6" s="392">
        <f>C46</f>
        <v>0</v>
      </c>
      <c r="D6" s="392"/>
      <c r="E6" s="393">
        <f>E26</f>
        <v>6</v>
      </c>
      <c r="F6" s="393"/>
      <c r="G6" s="393">
        <f>G26</f>
        <v>6</v>
      </c>
      <c r="H6" s="393"/>
      <c r="I6" s="393">
        <f>I26</f>
        <v>6</v>
      </c>
      <c r="J6" s="393"/>
      <c r="K6" s="393">
        <f>K26</f>
        <v>7</v>
      </c>
      <c r="L6" s="393"/>
      <c r="M6" s="393">
        <f>M26</f>
        <v>7</v>
      </c>
      <c r="N6" s="393"/>
      <c r="O6" s="393">
        <f>O26</f>
        <v>7</v>
      </c>
      <c r="P6" s="393"/>
      <c r="Q6" s="393">
        <f>Q26</f>
        <v>7</v>
      </c>
      <c r="R6" s="393"/>
      <c r="S6" s="393">
        <f>S26</f>
        <v>7</v>
      </c>
      <c r="T6" s="393"/>
      <c r="U6" s="393">
        <f>U26</f>
        <v>7</v>
      </c>
      <c r="V6" s="393"/>
      <c r="W6" s="393">
        <f>W26</f>
        <v>7</v>
      </c>
      <c r="X6" s="393"/>
      <c r="Y6" s="393">
        <f>Y26</f>
        <v>7</v>
      </c>
      <c r="Z6" s="393"/>
      <c r="AA6" s="393">
        <f>AA26</f>
        <v>7</v>
      </c>
      <c r="AB6" s="393"/>
      <c r="AD6" s="69" t="s">
        <v>316</v>
      </c>
    </row>
    <row r="7" spans="1:30" ht="15" customHeight="1" thickBot="1" x14ac:dyDescent="0.6">
      <c r="A7" s="391" t="s">
        <v>324</v>
      </c>
      <c r="B7" s="391"/>
      <c r="C7" s="392">
        <f>C47</f>
        <v>17</v>
      </c>
      <c r="D7" s="392"/>
      <c r="E7" s="399">
        <f>E57</f>
        <v>20</v>
      </c>
      <c r="F7" s="399"/>
      <c r="G7" s="399">
        <f>G57</f>
        <v>20</v>
      </c>
      <c r="H7" s="399"/>
      <c r="I7" s="399">
        <f>I57</f>
        <v>18</v>
      </c>
      <c r="J7" s="399"/>
      <c r="K7" s="399">
        <f>K57</f>
        <v>20</v>
      </c>
      <c r="L7" s="399"/>
      <c r="M7" s="399">
        <f>M57</f>
        <v>19</v>
      </c>
      <c r="N7" s="399"/>
      <c r="O7" s="399">
        <f>O57</f>
        <v>22</v>
      </c>
      <c r="P7" s="399"/>
      <c r="Q7" s="399">
        <f>Q57</f>
        <v>22</v>
      </c>
      <c r="R7" s="399"/>
      <c r="S7" s="399">
        <f>S57</f>
        <v>22</v>
      </c>
      <c r="T7" s="399"/>
      <c r="U7" s="399">
        <f>U57</f>
        <v>22</v>
      </c>
      <c r="V7" s="399"/>
      <c r="W7" s="399">
        <f>W57</f>
        <v>22</v>
      </c>
      <c r="X7" s="399"/>
      <c r="Y7" s="399">
        <f>Y57</f>
        <v>21</v>
      </c>
      <c r="Z7" s="399"/>
      <c r="AA7" s="399">
        <f>AA57</f>
        <v>21</v>
      </c>
      <c r="AB7" s="399"/>
      <c r="AD7" s="70" t="s">
        <v>269</v>
      </c>
    </row>
    <row r="8" spans="1:30" ht="15" customHeight="1" thickBot="1" x14ac:dyDescent="0.6">
      <c r="A8" s="391" t="s">
        <v>317</v>
      </c>
      <c r="B8" s="391"/>
      <c r="C8" s="72"/>
      <c r="D8" s="72"/>
      <c r="E8" s="385">
        <f>F57</f>
        <v>1200</v>
      </c>
      <c r="F8" s="386"/>
      <c r="G8" s="385">
        <f>H57</f>
        <v>1200</v>
      </c>
      <c r="H8" s="386"/>
      <c r="I8" s="385">
        <f>J57</f>
        <v>1080</v>
      </c>
      <c r="J8" s="386"/>
      <c r="K8" s="385">
        <f>L57</f>
        <v>1140</v>
      </c>
      <c r="L8" s="386"/>
      <c r="M8" s="385">
        <f>N57</f>
        <v>1140</v>
      </c>
      <c r="N8" s="386"/>
      <c r="O8" s="385">
        <f>P57</f>
        <v>1320</v>
      </c>
      <c r="P8" s="386"/>
      <c r="Q8" s="385">
        <f>R57</f>
        <v>1320</v>
      </c>
      <c r="R8" s="386"/>
      <c r="S8" s="385">
        <f>T57</f>
        <v>1320</v>
      </c>
      <c r="T8" s="386"/>
      <c r="U8" s="385">
        <f>V57</f>
        <v>1320</v>
      </c>
      <c r="V8" s="386"/>
      <c r="W8" s="385">
        <f>X57</f>
        <v>1260</v>
      </c>
      <c r="X8" s="386"/>
      <c r="Y8" s="385">
        <f>Z57</f>
        <v>1260</v>
      </c>
      <c r="Z8" s="386"/>
      <c r="AA8" s="385">
        <f>AB57</f>
        <v>1260</v>
      </c>
      <c r="AB8" s="386"/>
      <c r="AD8" s="70" t="s">
        <v>271</v>
      </c>
    </row>
    <row r="9" spans="1:30" ht="15" customHeight="1" thickBot="1" x14ac:dyDescent="0.6">
      <c r="A9" s="80" t="s">
        <v>332</v>
      </c>
      <c r="B9" s="80"/>
      <c r="C9" s="26" t="s">
        <v>174</v>
      </c>
      <c r="AD9" s="70"/>
    </row>
    <row r="10" spans="1:30" ht="15" customHeight="1" thickBot="1" x14ac:dyDescent="0.6">
      <c r="A10" s="391" t="s">
        <v>327</v>
      </c>
      <c r="B10" s="391"/>
      <c r="C10" s="72"/>
      <c r="D10" s="72"/>
      <c r="E10" s="393">
        <f>E72</f>
        <v>8</v>
      </c>
      <c r="F10" s="393"/>
      <c r="G10" s="393">
        <f>G72</f>
        <v>8</v>
      </c>
      <c r="H10" s="393"/>
      <c r="I10" s="393">
        <f>I72</f>
        <v>8</v>
      </c>
      <c r="J10" s="393"/>
      <c r="K10" s="393">
        <f>K72</f>
        <v>12</v>
      </c>
      <c r="L10" s="393"/>
      <c r="M10" s="393">
        <f>M72</f>
        <v>12</v>
      </c>
      <c r="N10" s="393"/>
      <c r="O10" s="393">
        <f>O72</f>
        <v>4</v>
      </c>
      <c r="P10" s="393"/>
      <c r="Q10" s="393">
        <f>Q72</f>
        <v>4</v>
      </c>
      <c r="R10" s="393"/>
      <c r="S10" s="393">
        <f>S72</f>
        <v>0</v>
      </c>
      <c r="T10" s="393"/>
      <c r="U10" s="393">
        <f>U72</f>
        <v>0</v>
      </c>
      <c r="V10" s="393"/>
      <c r="W10" s="393">
        <f>W72</f>
        <v>0</v>
      </c>
      <c r="X10" s="393"/>
      <c r="Y10" s="393">
        <f>Y72</f>
        <v>0</v>
      </c>
      <c r="Z10" s="393"/>
      <c r="AA10" s="393">
        <f>AA72</f>
        <v>0</v>
      </c>
      <c r="AB10" s="393"/>
      <c r="AD10" s="70" t="s">
        <v>272</v>
      </c>
    </row>
    <row r="11" spans="1:30" ht="15" customHeight="1" thickBot="1" x14ac:dyDescent="0.6">
      <c r="A11" s="391" t="s">
        <v>328</v>
      </c>
      <c r="B11" s="391"/>
      <c r="C11" s="72"/>
      <c r="D11" s="72"/>
      <c r="E11" s="394">
        <f>E87</f>
        <v>5</v>
      </c>
      <c r="F11" s="394"/>
      <c r="G11" s="394">
        <f>G87</f>
        <v>6</v>
      </c>
      <c r="H11" s="394"/>
      <c r="I11" s="394">
        <f>I87</f>
        <v>6</v>
      </c>
      <c r="J11" s="394"/>
      <c r="K11" s="394">
        <f>K87</f>
        <v>5</v>
      </c>
      <c r="L11" s="394"/>
      <c r="M11" s="394">
        <f>M87</f>
        <v>4</v>
      </c>
      <c r="N11" s="394"/>
      <c r="O11" s="394">
        <f>O87</f>
        <v>5</v>
      </c>
      <c r="P11" s="394"/>
      <c r="Q11" s="394">
        <f>Q87</f>
        <v>1</v>
      </c>
      <c r="R11" s="394"/>
      <c r="S11" s="394">
        <f>S87</f>
        <v>1</v>
      </c>
      <c r="T11" s="394"/>
      <c r="U11" s="394">
        <f>U87</f>
        <v>1</v>
      </c>
      <c r="V11" s="394"/>
      <c r="W11" s="394">
        <f>W87</f>
        <v>1</v>
      </c>
      <c r="X11" s="394"/>
      <c r="Y11" s="394">
        <f>Y87</f>
        <v>1</v>
      </c>
      <c r="Z11" s="394"/>
      <c r="AA11" s="394">
        <f>AA87</f>
        <v>0</v>
      </c>
      <c r="AB11" s="394"/>
      <c r="AD11" s="71" t="s">
        <v>270</v>
      </c>
    </row>
    <row r="12" spans="1:30" ht="15" customHeight="1" thickBot="1" x14ac:dyDescent="0.6">
      <c r="A12" s="391" t="s">
        <v>329</v>
      </c>
      <c r="B12" s="391"/>
      <c r="C12" s="72"/>
      <c r="D12" s="72"/>
      <c r="E12" s="393">
        <f>E98</f>
        <v>5</v>
      </c>
      <c r="F12" s="393"/>
      <c r="G12" s="393">
        <f>G98</f>
        <v>5</v>
      </c>
      <c r="H12" s="393"/>
      <c r="I12" s="393">
        <f>I98</f>
        <v>4</v>
      </c>
      <c r="J12" s="393"/>
      <c r="K12" s="393">
        <f>K98</f>
        <v>4</v>
      </c>
      <c r="L12" s="393"/>
      <c r="M12" s="393">
        <f>M98</f>
        <v>4</v>
      </c>
      <c r="N12" s="393"/>
      <c r="O12" s="393">
        <f>O98</f>
        <v>4</v>
      </c>
      <c r="P12" s="393"/>
      <c r="Q12" s="393">
        <f>Q98</f>
        <v>4</v>
      </c>
      <c r="R12" s="393"/>
      <c r="S12" s="393">
        <f>S98</f>
        <v>4</v>
      </c>
      <c r="T12" s="393"/>
      <c r="U12" s="393">
        <f>U98</f>
        <v>4</v>
      </c>
      <c r="V12" s="393"/>
      <c r="W12" s="393">
        <f>W98</f>
        <v>4</v>
      </c>
      <c r="X12" s="393"/>
      <c r="Y12" s="393">
        <f>Y98</f>
        <v>4</v>
      </c>
      <c r="Z12" s="393"/>
      <c r="AA12" s="393">
        <f>AA98</f>
        <v>4</v>
      </c>
      <c r="AB12" s="393"/>
    </row>
    <row r="13" spans="1:30" ht="15" customHeight="1" thickBot="1" x14ac:dyDescent="0.6">
      <c r="A13" s="388" t="s">
        <v>330</v>
      </c>
      <c r="B13" s="389"/>
      <c r="C13" s="72"/>
      <c r="D13" s="72"/>
      <c r="E13" s="390">
        <f>ROUND((SUM(F72,F87,F98)*0.7),0)</f>
        <v>886</v>
      </c>
      <c r="F13" s="390"/>
      <c r="G13" s="390">
        <f>ROUND((SUM(H72,H87,H98)*0.7),0)</f>
        <v>956</v>
      </c>
      <c r="H13" s="390"/>
      <c r="I13" s="390">
        <f>ROUND((SUM(J72,J87,J98)*0.7),0)</f>
        <v>868</v>
      </c>
      <c r="J13" s="390"/>
      <c r="K13" s="390">
        <f>ROUND((SUM(L72,L87,L98)*0.7),0)</f>
        <v>764</v>
      </c>
      <c r="L13" s="390"/>
      <c r="M13" s="390">
        <f>ROUND((SUM(N72,N87,N98)*0.7),0)</f>
        <v>855</v>
      </c>
      <c r="N13" s="390"/>
      <c r="O13" s="390">
        <f>ROUND((SUM(P72,P87,P98)*0.7),0)</f>
        <v>468</v>
      </c>
      <c r="P13" s="390"/>
      <c r="Q13" s="390">
        <f>ROUND((SUM(R72,R87,R98)*0.7),0)</f>
        <v>258</v>
      </c>
      <c r="R13" s="390"/>
      <c r="S13" s="390">
        <f>ROUND((SUM(T72,T87,T98)*0.7),0)</f>
        <v>126</v>
      </c>
      <c r="T13" s="390"/>
      <c r="U13" s="390">
        <f>ROUND((SUM(V72,V87,V98)*0.7),0)</f>
        <v>140</v>
      </c>
      <c r="V13" s="390"/>
      <c r="W13" s="390">
        <f>ROUND((SUM(X72,X87,X98)*0.7),0)</f>
        <v>154</v>
      </c>
      <c r="X13" s="390"/>
      <c r="Y13" s="390">
        <f>ROUND((SUM(Z72,Z87,Z98)*0.7),0)</f>
        <v>126</v>
      </c>
      <c r="Z13" s="390"/>
      <c r="AA13" s="390">
        <f>ROUND((SUM(AB72,AB87,AB98)*0.7),0)</f>
        <v>70</v>
      </c>
      <c r="AB13" s="390"/>
    </row>
    <row r="14" spans="1:30" ht="15" customHeight="1" thickBot="1" x14ac:dyDescent="0.6">
      <c r="A14" s="80" t="s">
        <v>334</v>
      </c>
      <c r="C14" s="26" t="s">
        <v>174</v>
      </c>
      <c r="AC14" s="61"/>
    </row>
    <row r="15" spans="1:30" ht="15" customHeight="1" thickBot="1" x14ac:dyDescent="0.6">
      <c r="A15" s="387" t="s">
        <v>331</v>
      </c>
      <c r="B15" s="387"/>
      <c r="C15" s="82"/>
      <c r="D15" s="82"/>
      <c r="E15" s="384">
        <f>SUM(E6,E7,E10,E11,E12)</f>
        <v>44</v>
      </c>
      <c r="F15" s="384"/>
      <c r="G15" s="384">
        <f>SUM(G6,G7,G10,G11,G12)</f>
        <v>45</v>
      </c>
      <c r="H15" s="384"/>
      <c r="I15" s="384">
        <f>SUM(I6,I7,I10,I11,I12)</f>
        <v>42</v>
      </c>
      <c r="J15" s="384"/>
      <c r="K15" s="384">
        <f>SUM(K6,K7,K10,K11,K12)</f>
        <v>48</v>
      </c>
      <c r="L15" s="384"/>
      <c r="M15" s="384">
        <f>SUM(M6,M7,M10,M11,M12)</f>
        <v>46</v>
      </c>
      <c r="N15" s="384"/>
      <c r="O15" s="384">
        <f>SUM(O6,O7,O10,O11,O12)</f>
        <v>42</v>
      </c>
      <c r="P15" s="384"/>
      <c r="Q15" s="384">
        <f>SUM(Q6,Q7,Q10,Q11,Q12)</f>
        <v>38</v>
      </c>
      <c r="R15" s="384"/>
      <c r="S15" s="384">
        <f>SUM(S6,S7,S10,S11,S12)</f>
        <v>34</v>
      </c>
      <c r="T15" s="384"/>
      <c r="U15" s="384">
        <f>SUM(U6,U7,U10,U11,U12)</f>
        <v>34</v>
      </c>
      <c r="V15" s="384"/>
      <c r="W15" s="384">
        <f>SUM(W6,W7,W10,W11,W12)</f>
        <v>34</v>
      </c>
      <c r="X15" s="384"/>
      <c r="Y15" s="384">
        <f>SUM(Y6,Y7,Y10,Y11,Y12)</f>
        <v>33</v>
      </c>
      <c r="Z15" s="384"/>
      <c r="AA15" s="384">
        <f>SUM(AA6,AA7,AA10,AA11,AA12)</f>
        <v>32</v>
      </c>
      <c r="AB15" s="384"/>
    </row>
    <row r="16" spans="1:30" ht="15" customHeight="1" thickBot="1" x14ac:dyDescent="0.6">
      <c r="A16" s="387" t="s">
        <v>326</v>
      </c>
      <c r="B16" s="387"/>
      <c r="C16" s="82"/>
      <c r="D16" s="82"/>
      <c r="E16" s="385">
        <f>SUM(E5,E13)</f>
        <v>2724</v>
      </c>
      <c r="F16" s="386"/>
      <c r="G16" s="385">
        <f>SUM(G5,G13)</f>
        <v>2794</v>
      </c>
      <c r="H16" s="386"/>
      <c r="I16" s="385">
        <f>SUM(I5,I13)</f>
        <v>2586</v>
      </c>
      <c r="J16" s="386"/>
      <c r="K16" s="385">
        <f>SUM(K5,K13)</f>
        <v>2557</v>
      </c>
      <c r="L16" s="386"/>
      <c r="M16" s="385">
        <f>SUM(M5,M13)</f>
        <v>2648</v>
      </c>
      <c r="N16" s="386"/>
      <c r="O16" s="385">
        <f>SUM(O5,O13)</f>
        <v>2441</v>
      </c>
      <c r="P16" s="386"/>
      <c r="Q16" s="385">
        <f>SUM(Q5,Q13)</f>
        <v>2231</v>
      </c>
      <c r="R16" s="386"/>
      <c r="S16" s="385">
        <f>SUM(S5,S13)</f>
        <v>2099</v>
      </c>
      <c r="T16" s="386"/>
      <c r="U16" s="385">
        <f>SUM(U5,U13)</f>
        <v>2113</v>
      </c>
      <c r="V16" s="386"/>
      <c r="W16" s="385">
        <f>SUM(W5,W13)</f>
        <v>2127</v>
      </c>
      <c r="X16" s="386"/>
      <c r="Y16" s="385">
        <f>SUM(Y5,Y13)</f>
        <v>2099</v>
      </c>
      <c r="Z16" s="386"/>
      <c r="AA16" s="385">
        <f>SUM(AA5,AA13)</f>
        <v>2043</v>
      </c>
      <c r="AB16" s="386"/>
    </row>
    <row r="17" spans="1:30" ht="15" customHeight="1" thickBot="1" x14ac:dyDescent="0.6">
      <c r="C17" s="26" t="s">
        <v>174</v>
      </c>
      <c r="AC17" s="61"/>
    </row>
    <row r="18" spans="1:30" ht="12" customHeight="1" x14ac:dyDescent="0.55000000000000004">
      <c r="A18" s="397" t="s">
        <v>257</v>
      </c>
      <c r="B18" s="398"/>
      <c r="C18" s="253" t="s">
        <v>4</v>
      </c>
      <c r="D18" s="400"/>
      <c r="E18" s="396" t="s">
        <v>5</v>
      </c>
      <c r="F18" s="396"/>
      <c r="G18" s="396" t="s">
        <v>6</v>
      </c>
      <c r="H18" s="396"/>
      <c r="I18" s="396" t="s">
        <v>7</v>
      </c>
      <c r="J18" s="396"/>
      <c r="K18" s="396" t="s">
        <v>8</v>
      </c>
      <c r="L18" s="396"/>
      <c r="M18" s="396" t="s">
        <v>10</v>
      </c>
      <c r="N18" s="396"/>
      <c r="O18" s="396" t="s">
        <v>11</v>
      </c>
      <c r="P18" s="396"/>
      <c r="Q18" s="396" t="s">
        <v>12</v>
      </c>
      <c r="R18" s="396"/>
      <c r="S18" s="396" t="s">
        <v>13</v>
      </c>
      <c r="T18" s="396"/>
      <c r="U18" s="396" t="s">
        <v>14</v>
      </c>
      <c r="V18" s="396"/>
      <c r="W18" s="396" t="s">
        <v>15</v>
      </c>
      <c r="X18" s="396"/>
      <c r="Y18" s="396" t="s">
        <v>16</v>
      </c>
      <c r="Z18" s="396"/>
      <c r="AA18" s="396" t="s">
        <v>4</v>
      </c>
      <c r="AB18" s="396"/>
      <c r="AC18" s="62"/>
      <c r="AD18" s="77" t="s">
        <v>320</v>
      </c>
    </row>
    <row r="19" spans="1:30" ht="12" customHeight="1" thickBot="1" x14ac:dyDescent="0.6">
      <c r="B19" s="60" t="s">
        <v>264</v>
      </c>
      <c r="C19" s="45" t="s">
        <v>168</v>
      </c>
      <c r="D19" s="45">
        <v>200</v>
      </c>
      <c r="E19" s="66" t="s">
        <v>258</v>
      </c>
      <c r="F19" s="66">
        <v>94</v>
      </c>
      <c r="G19" s="66" t="s">
        <v>258</v>
      </c>
      <c r="H19" s="66">
        <v>94</v>
      </c>
      <c r="I19" s="66" t="s">
        <v>258</v>
      </c>
      <c r="J19" s="66">
        <v>94</v>
      </c>
      <c r="K19" s="66" t="s">
        <v>258</v>
      </c>
      <c r="L19" s="66">
        <v>94</v>
      </c>
      <c r="M19" s="66" t="s">
        <v>258</v>
      </c>
      <c r="N19" s="66">
        <v>94</v>
      </c>
      <c r="O19" s="66" t="s">
        <v>258</v>
      </c>
      <c r="P19" s="66">
        <v>94</v>
      </c>
      <c r="Q19" s="66" t="s">
        <v>258</v>
      </c>
      <c r="R19" s="66">
        <v>94</v>
      </c>
      <c r="S19" s="66" t="s">
        <v>258</v>
      </c>
      <c r="T19" s="66">
        <v>94</v>
      </c>
      <c r="U19" s="66" t="s">
        <v>258</v>
      </c>
      <c r="V19" s="66">
        <v>94</v>
      </c>
      <c r="W19" s="66" t="s">
        <v>258</v>
      </c>
      <c r="X19" s="66">
        <v>94</v>
      </c>
      <c r="Y19" s="66" t="s">
        <v>258</v>
      </c>
      <c r="Z19" s="66">
        <v>94</v>
      </c>
      <c r="AA19" s="66" t="s">
        <v>258</v>
      </c>
      <c r="AB19" s="66">
        <v>94</v>
      </c>
      <c r="AC19" s="62"/>
      <c r="AD19" s="78" t="s">
        <v>321</v>
      </c>
    </row>
    <row r="20" spans="1:30" ht="12" customHeight="1" x14ac:dyDescent="0.55000000000000004">
      <c r="B20" s="60" t="s">
        <v>265</v>
      </c>
      <c r="C20" s="45" t="s">
        <v>61</v>
      </c>
      <c r="D20" s="45">
        <v>200</v>
      </c>
      <c r="E20" s="45" t="s">
        <v>259</v>
      </c>
      <c r="F20" s="45">
        <v>124</v>
      </c>
      <c r="G20" s="45" t="s">
        <v>259</v>
      </c>
      <c r="H20" s="45">
        <v>124</v>
      </c>
      <c r="I20" s="45" t="s">
        <v>259</v>
      </c>
      <c r="J20" s="45">
        <v>124</v>
      </c>
      <c r="K20" s="45" t="s">
        <v>259</v>
      </c>
      <c r="L20" s="45">
        <v>124</v>
      </c>
      <c r="M20" s="45" t="s">
        <v>259</v>
      </c>
      <c r="N20" s="45">
        <v>124</v>
      </c>
      <c r="O20" s="45" t="s">
        <v>259</v>
      </c>
      <c r="P20" s="45">
        <v>124</v>
      </c>
      <c r="Q20" s="45" t="s">
        <v>259</v>
      </c>
      <c r="R20" s="45">
        <v>124</v>
      </c>
      <c r="S20" s="45" t="s">
        <v>259</v>
      </c>
      <c r="T20" s="45">
        <v>124</v>
      </c>
      <c r="U20" s="45" t="s">
        <v>259</v>
      </c>
      <c r="V20" s="45">
        <v>124</v>
      </c>
      <c r="W20" s="45" t="s">
        <v>259</v>
      </c>
      <c r="X20" s="45">
        <v>124</v>
      </c>
      <c r="Y20" s="45" t="s">
        <v>259</v>
      </c>
      <c r="Z20" s="45">
        <v>124</v>
      </c>
      <c r="AA20" s="45" t="s">
        <v>259</v>
      </c>
      <c r="AB20" s="45">
        <v>124</v>
      </c>
      <c r="AC20" s="62"/>
    </row>
    <row r="21" spans="1:30" ht="12" customHeight="1" x14ac:dyDescent="0.55000000000000004">
      <c r="B21" s="60" t="s">
        <v>264</v>
      </c>
      <c r="C21" s="45" t="s">
        <v>62</v>
      </c>
      <c r="D21" s="45">
        <v>200</v>
      </c>
      <c r="E21" s="45" t="s">
        <v>260</v>
      </c>
      <c r="F21" s="66">
        <v>94</v>
      </c>
      <c r="G21" s="45" t="s">
        <v>260</v>
      </c>
      <c r="H21" s="66">
        <v>94</v>
      </c>
      <c r="I21" s="45" t="s">
        <v>260</v>
      </c>
      <c r="J21" s="66">
        <v>94</v>
      </c>
      <c r="K21" s="45" t="s">
        <v>260</v>
      </c>
      <c r="L21" s="66">
        <v>94</v>
      </c>
      <c r="M21" s="45" t="s">
        <v>260</v>
      </c>
      <c r="N21" s="66">
        <v>94</v>
      </c>
      <c r="O21" s="45" t="s">
        <v>260</v>
      </c>
      <c r="P21" s="66">
        <v>94</v>
      </c>
      <c r="Q21" s="45" t="s">
        <v>260</v>
      </c>
      <c r="R21" s="66">
        <v>94</v>
      </c>
      <c r="S21" s="45" t="s">
        <v>260</v>
      </c>
      <c r="T21" s="66">
        <v>94</v>
      </c>
      <c r="U21" s="45" t="s">
        <v>260</v>
      </c>
      <c r="V21" s="66">
        <v>94</v>
      </c>
      <c r="W21" s="45" t="s">
        <v>260</v>
      </c>
      <c r="X21" s="66">
        <v>94</v>
      </c>
      <c r="Y21" s="45" t="s">
        <v>260</v>
      </c>
      <c r="Z21" s="66">
        <v>94</v>
      </c>
      <c r="AA21" s="45" t="s">
        <v>260</v>
      </c>
      <c r="AB21" s="66">
        <v>94</v>
      </c>
      <c r="AC21" s="62"/>
    </row>
    <row r="22" spans="1:30" ht="12" customHeight="1" x14ac:dyDescent="0.55000000000000004">
      <c r="B22" s="60" t="s">
        <v>264</v>
      </c>
      <c r="C22" s="45" t="s">
        <v>63</v>
      </c>
      <c r="D22" s="45">
        <v>200</v>
      </c>
      <c r="E22" s="45" t="s">
        <v>261</v>
      </c>
      <c r="F22" s="45">
        <v>99</v>
      </c>
      <c r="G22" s="45" t="s">
        <v>261</v>
      </c>
      <c r="H22" s="45">
        <v>99</v>
      </c>
      <c r="I22" s="45" t="s">
        <v>261</v>
      </c>
      <c r="J22" s="45">
        <v>99</v>
      </c>
      <c r="K22" s="45" t="s">
        <v>261</v>
      </c>
      <c r="L22" s="45">
        <v>99</v>
      </c>
      <c r="M22" s="45" t="s">
        <v>261</v>
      </c>
      <c r="N22" s="45">
        <v>99</v>
      </c>
      <c r="O22" s="45" t="s">
        <v>261</v>
      </c>
      <c r="P22" s="45">
        <v>99</v>
      </c>
      <c r="Q22" s="45" t="s">
        <v>261</v>
      </c>
      <c r="R22" s="45">
        <v>99</v>
      </c>
      <c r="S22" s="45" t="s">
        <v>261</v>
      </c>
      <c r="T22" s="45">
        <v>99</v>
      </c>
      <c r="U22" s="45" t="s">
        <v>261</v>
      </c>
      <c r="V22" s="45">
        <v>99</v>
      </c>
      <c r="W22" s="45" t="s">
        <v>261</v>
      </c>
      <c r="X22" s="45">
        <v>99</v>
      </c>
      <c r="Y22" s="45" t="s">
        <v>261</v>
      </c>
      <c r="Z22" s="45">
        <v>99</v>
      </c>
      <c r="AA22" s="45" t="s">
        <v>261</v>
      </c>
      <c r="AB22" s="45">
        <v>99</v>
      </c>
      <c r="AC22" s="63"/>
    </row>
    <row r="23" spans="1:30" ht="12" customHeight="1" x14ac:dyDescent="0.55000000000000004">
      <c r="B23" s="60" t="s">
        <v>267</v>
      </c>
      <c r="C23" s="45" t="s">
        <v>64</v>
      </c>
      <c r="D23" s="45">
        <v>200</v>
      </c>
      <c r="E23" s="45" t="s">
        <v>262</v>
      </c>
      <c r="F23" s="45">
        <v>133</v>
      </c>
      <c r="G23" s="45" t="s">
        <v>262</v>
      </c>
      <c r="H23" s="45">
        <v>133</v>
      </c>
      <c r="I23" s="45" t="s">
        <v>262</v>
      </c>
      <c r="J23" s="45">
        <v>133</v>
      </c>
      <c r="K23" s="45" t="s">
        <v>262</v>
      </c>
      <c r="L23" s="45">
        <v>133</v>
      </c>
      <c r="M23" s="45" t="s">
        <v>262</v>
      </c>
      <c r="N23" s="45">
        <v>133</v>
      </c>
      <c r="O23" s="45" t="s">
        <v>262</v>
      </c>
      <c r="P23" s="45">
        <v>133</v>
      </c>
      <c r="Q23" s="45" t="s">
        <v>262</v>
      </c>
      <c r="R23" s="45">
        <v>133</v>
      </c>
      <c r="S23" s="45" t="s">
        <v>262</v>
      </c>
      <c r="T23" s="45">
        <v>133</v>
      </c>
      <c r="U23" s="45" t="s">
        <v>262</v>
      </c>
      <c r="V23" s="45">
        <v>133</v>
      </c>
      <c r="W23" s="45" t="s">
        <v>262</v>
      </c>
      <c r="X23" s="45">
        <v>133</v>
      </c>
      <c r="Y23" s="45" t="s">
        <v>262</v>
      </c>
      <c r="Z23" s="45">
        <v>133</v>
      </c>
      <c r="AA23" s="45" t="s">
        <v>262</v>
      </c>
      <c r="AB23" s="45">
        <v>133</v>
      </c>
    </row>
    <row r="24" spans="1:30" ht="12" customHeight="1" x14ac:dyDescent="0.55000000000000004">
      <c r="B24" s="60" t="s">
        <v>266</v>
      </c>
      <c r="C24" s="45" t="s">
        <v>65</v>
      </c>
      <c r="D24" s="45">
        <v>200</v>
      </c>
      <c r="E24" s="51" t="s">
        <v>263</v>
      </c>
      <c r="F24" s="45">
        <v>94</v>
      </c>
      <c r="G24" s="45" t="s">
        <v>263</v>
      </c>
      <c r="H24" s="45">
        <v>94</v>
      </c>
      <c r="I24" s="45" t="s">
        <v>263</v>
      </c>
      <c r="J24" s="45">
        <v>94</v>
      </c>
      <c r="K24" s="45" t="s">
        <v>263</v>
      </c>
      <c r="L24" s="45">
        <v>94</v>
      </c>
      <c r="M24" s="45" t="s">
        <v>263</v>
      </c>
      <c r="N24" s="45">
        <v>94</v>
      </c>
      <c r="O24" s="45" t="s">
        <v>263</v>
      </c>
      <c r="P24" s="45">
        <v>94</v>
      </c>
      <c r="Q24" s="45" t="s">
        <v>263</v>
      </c>
      <c r="R24" s="45">
        <v>94</v>
      </c>
      <c r="S24" s="45" t="s">
        <v>263</v>
      </c>
      <c r="T24" s="45">
        <v>94</v>
      </c>
      <c r="U24" s="45" t="s">
        <v>263</v>
      </c>
      <c r="V24" s="45">
        <v>94</v>
      </c>
      <c r="W24" s="45" t="s">
        <v>263</v>
      </c>
      <c r="X24" s="45">
        <v>94</v>
      </c>
      <c r="Y24" s="45" t="s">
        <v>263</v>
      </c>
      <c r="Z24" s="45">
        <v>94</v>
      </c>
      <c r="AA24" s="45" t="s">
        <v>263</v>
      </c>
      <c r="AB24" s="45">
        <v>94</v>
      </c>
    </row>
    <row r="25" spans="1:30" ht="12" customHeight="1" x14ac:dyDescent="0.55000000000000004">
      <c r="B25" s="60" t="s">
        <v>266</v>
      </c>
      <c r="C25" s="45"/>
      <c r="D25" s="45"/>
      <c r="E25" s="45"/>
      <c r="F25" s="45"/>
      <c r="G25" s="45"/>
      <c r="H25" s="45"/>
      <c r="I25" s="45"/>
      <c r="J25" s="45"/>
      <c r="K25" s="51" t="s">
        <v>268</v>
      </c>
      <c r="L25" s="45">
        <v>15</v>
      </c>
      <c r="M25" s="45" t="s">
        <v>268</v>
      </c>
      <c r="N25" s="45">
        <v>15</v>
      </c>
      <c r="O25" s="45" t="s">
        <v>268</v>
      </c>
      <c r="P25" s="45">
        <v>15</v>
      </c>
      <c r="Q25" s="45" t="s">
        <v>268</v>
      </c>
      <c r="R25" s="45">
        <v>15</v>
      </c>
      <c r="S25" s="45" t="s">
        <v>268</v>
      </c>
      <c r="T25" s="45">
        <v>15</v>
      </c>
      <c r="U25" s="45" t="s">
        <v>268</v>
      </c>
      <c r="V25" s="45">
        <v>15</v>
      </c>
      <c r="W25" s="45" t="s">
        <v>268</v>
      </c>
      <c r="X25" s="45">
        <v>15</v>
      </c>
      <c r="Y25" s="45" t="s">
        <v>268</v>
      </c>
      <c r="Z25" s="45">
        <v>15</v>
      </c>
      <c r="AA25" s="45" t="s">
        <v>268</v>
      </c>
      <c r="AB25" s="45">
        <v>15</v>
      </c>
      <c r="AD25" s="81" t="s">
        <v>322</v>
      </c>
    </row>
    <row r="26" spans="1:30" ht="12" customHeight="1" x14ac:dyDescent="0.55000000000000004">
      <c r="C26" s="45"/>
      <c r="D26" s="45"/>
      <c r="E26" s="73">
        <f>COUNTA(E19:E25)</f>
        <v>6</v>
      </c>
      <c r="F26" s="73">
        <f>SUM(F19:F25)</f>
        <v>638</v>
      </c>
      <c r="G26" s="73">
        <f>COUNTA(G19:G25)</f>
        <v>6</v>
      </c>
      <c r="H26" s="73">
        <f>SUM(H19:H25)</f>
        <v>638</v>
      </c>
      <c r="I26" s="73">
        <f>COUNTA(I19:I25)</f>
        <v>6</v>
      </c>
      <c r="J26" s="73">
        <f>SUM(J19:J25)</f>
        <v>638</v>
      </c>
      <c r="K26" s="73">
        <f>COUNTA(K19:K25)</f>
        <v>7</v>
      </c>
      <c r="L26" s="73">
        <f>SUM(L19:L25)</f>
        <v>653</v>
      </c>
      <c r="M26" s="73">
        <f>COUNTA(M19:M25)</f>
        <v>7</v>
      </c>
      <c r="N26" s="73">
        <f>SUM(N19:N25)</f>
        <v>653</v>
      </c>
      <c r="O26" s="73">
        <f>COUNTA(O19:O25)</f>
        <v>7</v>
      </c>
      <c r="P26" s="73">
        <f>SUM(P19:P25)</f>
        <v>653</v>
      </c>
      <c r="Q26" s="73">
        <f>COUNTA(Q19:Q25)</f>
        <v>7</v>
      </c>
      <c r="R26" s="73">
        <f>SUM(R19:R25)</f>
        <v>653</v>
      </c>
      <c r="S26" s="73">
        <f>COUNTA(S19:S25)</f>
        <v>7</v>
      </c>
      <c r="T26" s="73">
        <f>SUM(T19:T25)</f>
        <v>653</v>
      </c>
      <c r="U26" s="73">
        <f>COUNTA(U19:U25)</f>
        <v>7</v>
      </c>
      <c r="V26" s="73">
        <f>SUM(V19:V25)</f>
        <v>653</v>
      </c>
      <c r="W26" s="73">
        <f>COUNTA(W19:W25)</f>
        <v>7</v>
      </c>
      <c r="X26" s="73">
        <f>SUM(X19:X25)</f>
        <v>653</v>
      </c>
      <c r="Y26" s="73">
        <f>COUNTA(Y19:Y25)</f>
        <v>7</v>
      </c>
      <c r="Z26" s="73">
        <f>SUM(Z19:Z25)</f>
        <v>653</v>
      </c>
      <c r="AA26" s="73">
        <f>COUNTA(AA19:AA25)</f>
        <v>7</v>
      </c>
      <c r="AB26" s="73">
        <f>SUM(AB19:AB25)</f>
        <v>653</v>
      </c>
      <c r="AD26" s="79"/>
    </row>
    <row r="27" spans="1:30" s="403" customFormat="1" ht="12" customHeight="1" x14ac:dyDescent="0.55000000000000004"/>
    <row r="28" spans="1:30" s="1" customFormat="1" ht="12" customHeight="1" x14ac:dyDescent="0.55000000000000004">
      <c r="A28" s="397" t="s">
        <v>255</v>
      </c>
      <c r="B28" s="398"/>
      <c r="C28" s="253" t="s">
        <v>4</v>
      </c>
      <c r="D28" s="400"/>
      <c r="E28" s="396" t="s">
        <v>5</v>
      </c>
      <c r="F28" s="396"/>
      <c r="G28" s="396" t="s">
        <v>6</v>
      </c>
      <c r="H28" s="396"/>
      <c r="I28" s="396" t="s">
        <v>7</v>
      </c>
      <c r="J28" s="396"/>
      <c r="K28" s="396" t="s">
        <v>8</v>
      </c>
      <c r="L28" s="396"/>
      <c r="M28" s="396" t="s">
        <v>10</v>
      </c>
      <c r="N28" s="396"/>
      <c r="O28" s="396" t="s">
        <v>11</v>
      </c>
      <c r="P28" s="396"/>
      <c r="Q28" s="396" t="s">
        <v>12</v>
      </c>
      <c r="R28" s="396"/>
      <c r="S28" s="396" t="s">
        <v>13</v>
      </c>
      <c r="T28" s="396"/>
      <c r="U28" s="396" t="s">
        <v>14</v>
      </c>
      <c r="V28" s="396"/>
      <c r="W28" s="396" t="s">
        <v>15</v>
      </c>
      <c r="X28" s="396"/>
      <c r="Y28" s="396" t="s">
        <v>16</v>
      </c>
      <c r="Z28" s="396"/>
      <c r="AA28" s="396" t="s">
        <v>4</v>
      </c>
      <c r="AB28" s="396"/>
    </row>
    <row r="29" spans="1:30" ht="12" customHeight="1" x14ac:dyDescent="0.55000000000000004">
      <c r="C29" s="45" t="s">
        <v>66</v>
      </c>
      <c r="D29" s="45">
        <v>200</v>
      </c>
      <c r="E29" s="66" t="s">
        <v>273</v>
      </c>
      <c r="F29" s="66">
        <v>60</v>
      </c>
      <c r="G29" s="66" t="s">
        <v>273</v>
      </c>
      <c r="H29" s="45">
        <v>60</v>
      </c>
      <c r="I29" s="66" t="s">
        <v>273</v>
      </c>
      <c r="J29" s="45">
        <v>60</v>
      </c>
      <c r="K29" s="66" t="s">
        <v>273</v>
      </c>
      <c r="L29" s="45">
        <v>60</v>
      </c>
      <c r="M29" s="66" t="s">
        <v>273</v>
      </c>
      <c r="N29" s="45">
        <v>60</v>
      </c>
      <c r="O29" s="66" t="s">
        <v>273</v>
      </c>
      <c r="P29" s="45">
        <v>60</v>
      </c>
      <c r="Q29" s="66" t="s">
        <v>273</v>
      </c>
      <c r="R29" s="45">
        <v>60</v>
      </c>
      <c r="S29" s="66" t="s">
        <v>273</v>
      </c>
      <c r="T29" s="45">
        <v>60</v>
      </c>
      <c r="U29" s="66" t="s">
        <v>273</v>
      </c>
      <c r="V29" s="45">
        <v>60</v>
      </c>
      <c r="W29" s="66" t="s">
        <v>273</v>
      </c>
      <c r="X29" s="45">
        <v>60</v>
      </c>
      <c r="Y29" s="66" t="s">
        <v>273</v>
      </c>
      <c r="Z29" s="45">
        <v>60</v>
      </c>
      <c r="AA29" s="66" t="s">
        <v>273</v>
      </c>
      <c r="AB29" s="45">
        <v>60</v>
      </c>
    </row>
    <row r="30" spans="1:30" ht="12" customHeight="1" x14ac:dyDescent="0.55000000000000004">
      <c r="C30" s="45" t="s">
        <v>40</v>
      </c>
      <c r="D30" s="45">
        <v>200</v>
      </c>
      <c r="E30" s="45" t="s">
        <v>274</v>
      </c>
      <c r="F30" s="45">
        <v>60</v>
      </c>
      <c r="G30" s="45" t="s">
        <v>274</v>
      </c>
      <c r="H30" s="45">
        <v>60</v>
      </c>
      <c r="I30" s="45" t="s">
        <v>274</v>
      </c>
      <c r="J30" s="45">
        <v>60</v>
      </c>
      <c r="K30" s="45" t="s">
        <v>274</v>
      </c>
      <c r="L30" s="45">
        <v>60</v>
      </c>
      <c r="M30" s="45" t="s">
        <v>274</v>
      </c>
      <c r="N30" s="45">
        <v>60</v>
      </c>
      <c r="O30" s="45" t="s">
        <v>274</v>
      </c>
      <c r="P30" s="45">
        <v>60</v>
      </c>
      <c r="Q30" s="45" t="s">
        <v>274</v>
      </c>
      <c r="R30" s="45">
        <v>60</v>
      </c>
      <c r="S30" s="45" t="s">
        <v>274</v>
      </c>
      <c r="T30" s="45">
        <v>60</v>
      </c>
      <c r="U30" s="45" t="s">
        <v>274</v>
      </c>
      <c r="V30" s="45">
        <v>60</v>
      </c>
      <c r="W30" s="45" t="s">
        <v>274</v>
      </c>
      <c r="X30" s="45">
        <v>60</v>
      </c>
      <c r="Y30" s="45" t="s">
        <v>274</v>
      </c>
      <c r="Z30" s="45">
        <v>60</v>
      </c>
      <c r="AA30" s="45" t="s">
        <v>274</v>
      </c>
      <c r="AB30" s="45">
        <v>60</v>
      </c>
    </row>
    <row r="31" spans="1:30" ht="12" customHeight="1" x14ac:dyDescent="0.55000000000000004">
      <c r="C31" s="45" t="s">
        <v>204</v>
      </c>
      <c r="D31" s="45">
        <v>130</v>
      </c>
      <c r="E31" s="45" t="s">
        <v>275</v>
      </c>
      <c r="F31" s="45">
        <v>60</v>
      </c>
      <c r="G31" s="45" t="s">
        <v>275</v>
      </c>
      <c r="H31" s="45">
        <v>60</v>
      </c>
      <c r="I31" s="45" t="s">
        <v>275</v>
      </c>
      <c r="J31" s="45">
        <v>60</v>
      </c>
      <c r="K31" s="45" t="s">
        <v>275</v>
      </c>
      <c r="L31" s="45">
        <v>60</v>
      </c>
      <c r="M31" s="45" t="s">
        <v>275</v>
      </c>
      <c r="N31" s="45">
        <v>60</v>
      </c>
      <c r="O31" s="45" t="s">
        <v>275</v>
      </c>
      <c r="P31" s="45">
        <v>60</v>
      </c>
      <c r="Q31" s="45" t="s">
        <v>275</v>
      </c>
      <c r="R31" s="45">
        <v>60</v>
      </c>
      <c r="S31" s="45" t="s">
        <v>275</v>
      </c>
      <c r="T31" s="45">
        <v>60</v>
      </c>
      <c r="U31" s="45" t="s">
        <v>275</v>
      </c>
      <c r="V31" s="45">
        <v>60</v>
      </c>
      <c r="W31" s="45" t="s">
        <v>275</v>
      </c>
      <c r="X31" s="45">
        <v>60</v>
      </c>
      <c r="Y31" s="45" t="s">
        <v>275</v>
      </c>
      <c r="Z31" s="45">
        <v>60</v>
      </c>
      <c r="AA31" s="45" t="s">
        <v>275</v>
      </c>
      <c r="AB31" s="45">
        <v>60</v>
      </c>
    </row>
    <row r="32" spans="1:30" ht="12" customHeight="1" x14ac:dyDescent="0.55000000000000004">
      <c r="C32" s="45" t="s">
        <v>69</v>
      </c>
      <c r="D32" s="45">
        <v>200</v>
      </c>
      <c r="E32" s="45" t="s">
        <v>276</v>
      </c>
      <c r="F32" s="45">
        <v>60</v>
      </c>
      <c r="G32" s="45" t="s">
        <v>276</v>
      </c>
      <c r="H32" s="45">
        <v>60</v>
      </c>
      <c r="I32" s="45" t="s">
        <v>276</v>
      </c>
      <c r="J32" s="45">
        <v>60</v>
      </c>
      <c r="K32" s="45" t="s">
        <v>276</v>
      </c>
      <c r="L32" s="45">
        <v>60</v>
      </c>
      <c r="M32" s="45" t="s">
        <v>276</v>
      </c>
      <c r="N32" s="45">
        <v>60</v>
      </c>
      <c r="O32" s="45" t="s">
        <v>276</v>
      </c>
      <c r="P32" s="45">
        <v>60</v>
      </c>
      <c r="Q32" s="45" t="s">
        <v>276</v>
      </c>
      <c r="R32" s="45">
        <v>60</v>
      </c>
      <c r="S32" s="45" t="s">
        <v>276</v>
      </c>
      <c r="T32" s="45">
        <v>60</v>
      </c>
      <c r="U32" s="45" t="s">
        <v>276</v>
      </c>
      <c r="V32" s="45">
        <v>60</v>
      </c>
      <c r="W32" s="45" t="s">
        <v>276</v>
      </c>
      <c r="X32" s="45">
        <v>60</v>
      </c>
      <c r="Y32" s="45" t="s">
        <v>276</v>
      </c>
      <c r="Z32" s="45">
        <v>60</v>
      </c>
      <c r="AA32" s="45" t="s">
        <v>276</v>
      </c>
      <c r="AB32" s="45">
        <v>60</v>
      </c>
    </row>
    <row r="33" spans="2:28" ht="12" customHeight="1" x14ac:dyDescent="0.55000000000000004">
      <c r="C33" s="45" t="s">
        <v>44</v>
      </c>
      <c r="D33" s="45">
        <v>200</v>
      </c>
      <c r="E33" s="45" t="s">
        <v>277</v>
      </c>
      <c r="F33" s="45">
        <v>60</v>
      </c>
      <c r="G33" s="45" t="s">
        <v>277</v>
      </c>
      <c r="H33" s="45">
        <v>60</v>
      </c>
      <c r="I33" s="45" t="s">
        <v>277</v>
      </c>
      <c r="J33" s="45">
        <v>60</v>
      </c>
      <c r="K33" s="45" t="s">
        <v>277</v>
      </c>
      <c r="L33" s="45">
        <v>60</v>
      </c>
      <c r="M33" s="45" t="s">
        <v>277</v>
      </c>
      <c r="N33" s="45">
        <v>60</v>
      </c>
      <c r="O33" s="45" t="s">
        <v>277</v>
      </c>
      <c r="P33" s="45">
        <v>60</v>
      </c>
      <c r="Q33" s="45" t="s">
        <v>277</v>
      </c>
      <c r="R33" s="45">
        <v>60</v>
      </c>
      <c r="S33" s="45" t="s">
        <v>277</v>
      </c>
      <c r="T33" s="45">
        <v>60</v>
      </c>
      <c r="U33" s="45" t="s">
        <v>277</v>
      </c>
      <c r="V33" s="45">
        <v>60</v>
      </c>
      <c r="W33" s="45" t="s">
        <v>277</v>
      </c>
      <c r="X33" s="45">
        <v>60</v>
      </c>
      <c r="Y33" s="45" t="s">
        <v>277</v>
      </c>
      <c r="Z33" s="45">
        <v>60</v>
      </c>
      <c r="AA33" s="45" t="s">
        <v>277</v>
      </c>
      <c r="AB33" s="45">
        <v>60</v>
      </c>
    </row>
    <row r="34" spans="2:28" ht="12" customHeight="1" x14ac:dyDescent="0.55000000000000004">
      <c r="B34" s="60" t="s">
        <v>291</v>
      </c>
      <c r="C34" s="45" t="s">
        <v>205</v>
      </c>
      <c r="D34" s="45">
        <v>200</v>
      </c>
      <c r="E34" s="45" t="s">
        <v>278</v>
      </c>
      <c r="F34" s="45">
        <v>60</v>
      </c>
      <c r="G34" s="45" t="s">
        <v>278</v>
      </c>
      <c r="H34" s="45">
        <v>60</v>
      </c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</row>
    <row r="35" spans="2:28" ht="12" customHeight="1" x14ac:dyDescent="0.55000000000000004">
      <c r="B35" s="65"/>
      <c r="C35" s="45" t="s">
        <v>70</v>
      </c>
      <c r="D35" s="45">
        <v>200</v>
      </c>
      <c r="E35" s="45" t="s">
        <v>279</v>
      </c>
      <c r="F35" s="45">
        <v>60</v>
      </c>
      <c r="G35" s="45" t="s">
        <v>279</v>
      </c>
      <c r="H35" s="45">
        <v>60</v>
      </c>
      <c r="I35" s="45" t="s">
        <v>279</v>
      </c>
      <c r="J35" s="45">
        <v>60</v>
      </c>
      <c r="K35" s="45" t="s">
        <v>279</v>
      </c>
      <c r="L35" s="45">
        <v>60</v>
      </c>
      <c r="M35" s="45" t="s">
        <v>279</v>
      </c>
      <c r="N35" s="45">
        <v>60</v>
      </c>
      <c r="O35" s="45" t="s">
        <v>279</v>
      </c>
      <c r="P35" s="45">
        <v>60</v>
      </c>
      <c r="Q35" s="45" t="s">
        <v>279</v>
      </c>
      <c r="R35" s="45">
        <v>60</v>
      </c>
      <c r="S35" s="45" t="s">
        <v>279</v>
      </c>
      <c r="T35" s="45">
        <v>60</v>
      </c>
      <c r="U35" s="45" t="s">
        <v>279</v>
      </c>
      <c r="V35" s="45">
        <v>60</v>
      </c>
      <c r="W35" s="45" t="s">
        <v>279</v>
      </c>
      <c r="X35" s="45">
        <v>60</v>
      </c>
      <c r="Y35" s="45" t="s">
        <v>279</v>
      </c>
      <c r="Z35" s="45">
        <v>60</v>
      </c>
      <c r="AA35" s="45" t="s">
        <v>279</v>
      </c>
      <c r="AB35" s="45">
        <v>60</v>
      </c>
    </row>
    <row r="36" spans="2:28" ht="12" customHeight="1" x14ac:dyDescent="0.55000000000000004">
      <c r="B36" s="65"/>
      <c r="C36" s="45" t="s">
        <v>71</v>
      </c>
      <c r="D36" s="45">
        <v>100</v>
      </c>
      <c r="E36" s="64"/>
      <c r="F36" s="64"/>
      <c r="G36" s="45" t="s">
        <v>280</v>
      </c>
      <c r="H36" s="45">
        <v>60</v>
      </c>
      <c r="I36" s="45" t="s">
        <v>280</v>
      </c>
      <c r="J36" s="45">
        <v>60</v>
      </c>
      <c r="K36" s="45" t="s">
        <v>280</v>
      </c>
      <c r="L36" s="45">
        <v>60</v>
      </c>
      <c r="M36" s="45" t="s">
        <v>280</v>
      </c>
      <c r="N36" s="45">
        <v>60</v>
      </c>
      <c r="O36" s="45" t="s">
        <v>280</v>
      </c>
      <c r="P36" s="45">
        <v>60</v>
      </c>
      <c r="Q36" s="45" t="s">
        <v>280</v>
      </c>
      <c r="R36" s="45">
        <v>60</v>
      </c>
      <c r="S36" s="45" t="s">
        <v>280</v>
      </c>
      <c r="T36" s="45">
        <v>60</v>
      </c>
      <c r="U36" s="45" t="s">
        <v>280</v>
      </c>
      <c r="V36" s="45">
        <v>60</v>
      </c>
      <c r="W36" s="45" t="s">
        <v>280</v>
      </c>
      <c r="X36" s="45">
        <v>60</v>
      </c>
      <c r="Y36" s="45" t="s">
        <v>280</v>
      </c>
      <c r="Z36" s="45">
        <v>60</v>
      </c>
      <c r="AA36" s="45" t="s">
        <v>280</v>
      </c>
      <c r="AB36" s="45">
        <v>60</v>
      </c>
    </row>
    <row r="37" spans="2:28" ht="12" customHeight="1" x14ac:dyDescent="0.55000000000000004">
      <c r="B37" s="60" t="s">
        <v>294</v>
      </c>
      <c r="C37" s="45" t="s">
        <v>72</v>
      </c>
      <c r="D37" s="45">
        <v>200</v>
      </c>
      <c r="E37" s="45" t="s">
        <v>281</v>
      </c>
      <c r="F37" s="45">
        <v>60</v>
      </c>
      <c r="G37" s="45" t="s">
        <v>281</v>
      </c>
      <c r="H37" s="45">
        <v>60</v>
      </c>
      <c r="I37" s="45" t="s">
        <v>281</v>
      </c>
      <c r="J37" s="45">
        <v>60</v>
      </c>
      <c r="K37" s="45" t="s">
        <v>281</v>
      </c>
      <c r="L37" s="45">
        <v>60</v>
      </c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</row>
    <row r="38" spans="2:28" ht="12" customHeight="1" x14ac:dyDescent="0.55000000000000004">
      <c r="B38" s="65"/>
      <c r="C38" s="45" t="s">
        <v>74</v>
      </c>
      <c r="D38" s="45">
        <v>110</v>
      </c>
      <c r="E38" s="45" t="s">
        <v>282</v>
      </c>
      <c r="F38" s="45">
        <v>60</v>
      </c>
      <c r="G38" s="45" t="s">
        <v>282</v>
      </c>
      <c r="H38" s="45">
        <v>60</v>
      </c>
      <c r="I38" s="45" t="s">
        <v>282</v>
      </c>
      <c r="J38" s="45">
        <v>60</v>
      </c>
      <c r="K38" s="45" t="s">
        <v>282</v>
      </c>
      <c r="L38" s="45">
        <v>60</v>
      </c>
      <c r="M38" s="45" t="s">
        <v>282</v>
      </c>
      <c r="N38" s="45">
        <v>60</v>
      </c>
      <c r="O38" s="45" t="s">
        <v>282</v>
      </c>
      <c r="P38" s="45">
        <v>60</v>
      </c>
      <c r="Q38" s="45" t="s">
        <v>282</v>
      </c>
      <c r="R38" s="45">
        <v>60</v>
      </c>
      <c r="S38" s="45" t="s">
        <v>282</v>
      </c>
      <c r="T38" s="45">
        <v>60</v>
      </c>
      <c r="U38" s="45" t="s">
        <v>282</v>
      </c>
      <c r="V38" s="45">
        <v>60</v>
      </c>
      <c r="W38" s="45" t="s">
        <v>282</v>
      </c>
      <c r="X38" s="45">
        <v>60</v>
      </c>
      <c r="Y38" s="45" t="s">
        <v>282</v>
      </c>
      <c r="Z38" s="45">
        <v>60</v>
      </c>
      <c r="AA38" s="45" t="s">
        <v>282</v>
      </c>
      <c r="AB38" s="45">
        <v>60</v>
      </c>
    </row>
    <row r="39" spans="2:28" ht="12" customHeight="1" x14ac:dyDescent="0.55000000000000004">
      <c r="B39" s="65"/>
      <c r="C39" s="45"/>
      <c r="D39" s="45"/>
      <c r="E39" s="45" t="s">
        <v>283</v>
      </c>
      <c r="F39" s="45">
        <v>60</v>
      </c>
      <c r="G39" s="45" t="s">
        <v>283</v>
      </c>
      <c r="H39" s="45">
        <v>60</v>
      </c>
      <c r="I39" s="45" t="s">
        <v>283</v>
      </c>
      <c r="J39" s="45">
        <v>60</v>
      </c>
      <c r="K39" s="45" t="s">
        <v>283</v>
      </c>
      <c r="L39" s="45">
        <v>60</v>
      </c>
      <c r="M39" s="45" t="s">
        <v>283</v>
      </c>
      <c r="N39" s="45">
        <v>60</v>
      </c>
      <c r="O39" s="45" t="s">
        <v>283</v>
      </c>
      <c r="P39" s="45">
        <v>60</v>
      </c>
      <c r="Q39" s="45" t="s">
        <v>283</v>
      </c>
      <c r="R39" s="45">
        <v>60</v>
      </c>
      <c r="S39" s="45" t="s">
        <v>283</v>
      </c>
      <c r="T39" s="45">
        <v>60</v>
      </c>
      <c r="U39" s="45" t="s">
        <v>283</v>
      </c>
      <c r="V39" s="45">
        <v>60</v>
      </c>
      <c r="W39" s="45" t="s">
        <v>283</v>
      </c>
      <c r="X39" s="45">
        <v>60</v>
      </c>
      <c r="Y39" s="45" t="s">
        <v>283</v>
      </c>
      <c r="Z39" s="45">
        <v>60</v>
      </c>
      <c r="AA39" s="45" t="s">
        <v>283</v>
      </c>
      <c r="AB39" s="45">
        <v>60</v>
      </c>
    </row>
    <row r="40" spans="2:28" ht="12" customHeight="1" x14ac:dyDescent="0.55000000000000004">
      <c r="B40" s="65"/>
      <c r="C40" s="45"/>
      <c r="D40" s="45"/>
      <c r="E40" s="45" t="s">
        <v>284</v>
      </c>
      <c r="F40" s="45">
        <v>60</v>
      </c>
      <c r="G40" s="45" t="s">
        <v>284</v>
      </c>
      <c r="H40" s="45">
        <v>60</v>
      </c>
      <c r="I40" s="45" t="s">
        <v>284</v>
      </c>
      <c r="J40" s="45">
        <v>60</v>
      </c>
      <c r="K40" s="45" t="s">
        <v>284</v>
      </c>
      <c r="L40" s="45">
        <v>60</v>
      </c>
      <c r="M40" s="45" t="s">
        <v>284</v>
      </c>
      <c r="N40" s="45">
        <v>60</v>
      </c>
      <c r="O40" s="45" t="s">
        <v>284</v>
      </c>
      <c r="P40" s="45">
        <v>60</v>
      </c>
      <c r="Q40" s="45" t="s">
        <v>284</v>
      </c>
      <c r="R40" s="45">
        <v>60</v>
      </c>
      <c r="S40" s="45" t="s">
        <v>284</v>
      </c>
      <c r="T40" s="45">
        <v>60</v>
      </c>
      <c r="U40" s="45" t="s">
        <v>284</v>
      </c>
      <c r="V40" s="45">
        <v>60</v>
      </c>
      <c r="W40" s="45" t="s">
        <v>284</v>
      </c>
      <c r="X40" s="45">
        <v>60</v>
      </c>
      <c r="Y40" s="45" t="s">
        <v>284</v>
      </c>
      <c r="Z40" s="45">
        <v>60</v>
      </c>
      <c r="AA40" s="45" t="s">
        <v>284</v>
      </c>
      <c r="AB40" s="45">
        <v>60</v>
      </c>
    </row>
    <row r="41" spans="2:28" ht="12" customHeight="1" x14ac:dyDescent="0.55000000000000004">
      <c r="B41" s="60" t="s">
        <v>293</v>
      </c>
      <c r="C41" s="45"/>
      <c r="D41" s="45"/>
      <c r="E41" s="45" t="s">
        <v>285</v>
      </c>
      <c r="F41" s="45">
        <v>60</v>
      </c>
      <c r="G41" s="45" t="s">
        <v>285</v>
      </c>
      <c r="H41" s="45">
        <v>60</v>
      </c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</row>
    <row r="42" spans="2:28" ht="12" customHeight="1" x14ac:dyDescent="0.55000000000000004">
      <c r="B42" s="65"/>
      <c r="C42" s="45"/>
      <c r="D42" s="45"/>
      <c r="E42" s="45" t="s">
        <v>286</v>
      </c>
      <c r="F42" s="45">
        <v>60</v>
      </c>
      <c r="G42" s="45" t="s">
        <v>286</v>
      </c>
      <c r="H42" s="45">
        <v>60</v>
      </c>
      <c r="I42" s="45" t="s">
        <v>286</v>
      </c>
      <c r="J42" s="45">
        <v>60</v>
      </c>
      <c r="K42" s="45" t="s">
        <v>286</v>
      </c>
      <c r="L42" s="45">
        <v>60</v>
      </c>
      <c r="M42" s="45" t="s">
        <v>286</v>
      </c>
      <c r="N42" s="45">
        <v>60</v>
      </c>
      <c r="O42" s="45" t="s">
        <v>286</v>
      </c>
      <c r="P42" s="45">
        <v>60</v>
      </c>
      <c r="Q42" s="45" t="s">
        <v>286</v>
      </c>
      <c r="R42" s="45">
        <v>60</v>
      </c>
      <c r="S42" s="45" t="s">
        <v>286</v>
      </c>
      <c r="T42" s="45">
        <v>60</v>
      </c>
      <c r="U42" s="45" t="s">
        <v>286</v>
      </c>
      <c r="V42" s="45">
        <v>60</v>
      </c>
      <c r="W42" s="45" t="s">
        <v>286</v>
      </c>
      <c r="X42" s="45">
        <v>60</v>
      </c>
      <c r="Y42" s="45" t="s">
        <v>286</v>
      </c>
      <c r="Z42" s="45">
        <v>60</v>
      </c>
      <c r="AA42" s="45" t="s">
        <v>286</v>
      </c>
      <c r="AB42" s="45">
        <v>60</v>
      </c>
    </row>
    <row r="43" spans="2:28" ht="12" customHeight="1" x14ac:dyDescent="0.55000000000000004">
      <c r="B43" s="65"/>
      <c r="C43" s="45"/>
      <c r="D43" s="45"/>
      <c r="E43" s="45" t="s">
        <v>287</v>
      </c>
      <c r="F43" s="45">
        <v>60</v>
      </c>
      <c r="G43" s="45" t="s">
        <v>287</v>
      </c>
      <c r="H43" s="45">
        <v>60</v>
      </c>
      <c r="I43" s="45" t="s">
        <v>287</v>
      </c>
      <c r="J43" s="45">
        <v>60</v>
      </c>
      <c r="K43" s="45" t="s">
        <v>287</v>
      </c>
      <c r="L43" s="45">
        <v>60</v>
      </c>
      <c r="M43" s="45" t="s">
        <v>287</v>
      </c>
      <c r="N43" s="45">
        <v>60</v>
      </c>
      <c r="O43" s="45" t="s">
        <v>287</v>
      </c>
      <c r="P43" s="45">
        <v>60</v>
      </c>
      <c r="Q43" s="45" t="s">
        <v>287</v>
      </c>
      <c r="R43" s="45">
        <v>60</v>
      </c>
      <c r="S43" s="45" t="s">
        <v>287</v>
      </c>
      <c r="T43" s="45">
        <v>60</v>
      </c>
      <c r="U43" s="45" t="s">
        <v>287</v>
      </c>
      <c r="V43" s="45">
        <v>60</v>
      </c>
      <c r="W43" s="45" t="s">
        <v>287</v>
      </c>
      <c r="X43" s="45">
        <v>60</v>
      </c>
      <c r="Y43" s="45" t="s">
        <v>287</v>
      </c>
      <c r="Z43" s="45">
        <v>60</v>
      </c>
      <c r="AA43" s="45" t="s">
        <v>287</v>
      </c>
      <c r="AB43" s="45">
        <v>60</v>
      </c>
    </row>
    <row r="44" spans="2:28" ht="12" customHeight="1" x14ac:dyDescent="0.55000000000000004">
      <c r="B44" s="65"/>
      <c r="C44" s="45"/>
      <c r="D44" s="45"/>
      <c r="E44" s="45" t="s">
        <v>318</v>
      </c>
      <c r="F44" s="45">
        <v>60</v>
      </c>
      <c r="G44" s="45" t="s">
        <v>318</v>
      </c>
      <c r="H44" s="45">
        <v>60</v>
      </c>
      <c r="I44" s="45" t="s">
        <v>318</v>
      </c>
      <c r="J44" s="45">
        <v>60</v>
      </c>
      <c r="K44" s="45" t="s">
        <v>318</v>
      </c>
      <c r="L44" s="45">
        <v>60</v>
      </c>
      <c r="M44" s="45" t="s">
        <v>318</v>
      </c>
      <c r="N44" s="45">
        <v>60</v>
      </c>
      <c r="O44" s="45" t="s">
        <v>318</v>
      </c>
      <c r="P44" s="45">
        <v>60</v>
      </c>
      <c r="Q44" s="45" t="s">
        <v>318</v>
      </c>
      <c r="R44" s="45">
        <v>60</v>
      </c>
      <c r="S44" s="45" t="s">
        <v>318</v>
      </c>
      <c r="T44" s="45">
        <v>60</v>
      </c>
      <c r="U44" s="45" t="s">
        <v>318</v>
      </c>
      <c r="V44" s="45">
        <v>60</v>
      </c>
      <c r="W44" s="45" t="s">
        <v>318</v>
      </c>
      <c r="X44" s="45">
        <v>60</v>
      </c>
      <c r="Y44" s="45" t="s">
        <v>318</v>
      </c>
      <c r="Z44" s="45">
        <v>60</v>
      </c>
      <c r="AA44" s="45" t="s">
        <v>318</v>
      </c>
      <c r="AB44" s="45">
        <v>60</v>
      </c>
    </row>
    <row r="45" spans="2:28" ht="12" customHeight="1" x14ac:dyDescent="0.55000000000000004">
      <c r="B45" s="60" t="s">
        <v>292</v>
      </c>
      <c r="C45" s="45"/>
      <c r="D45" s="45"/>
      <c r="E45" s="45" t="s">
        <v>288</v>
      </c>
      <c r="F45" s="45">
        <v>60</v>
      </c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</row>
    <row r="46" spans="2:28" ht="12" customHeight="1" x14ac:dyDescent="0.55000000000000004">
      <c r="C46" s="45"/>
      <c r="D46" s="45"/>
      <c r="E46" s="45" t="s">
        <v>186</v>
      </c>
      <c r="F46" s="45">
        <v>60</v>
      </c>
      <c r="G46" s="45" t="s">
        <v>186</v>
      </c>
      <c r="H46" s="45">
        <v>60</v>
      </c>
      <c r="I46" s="45" t="s">
        <v>186</v>
      </c>
      <c r="J46" s="45">
        <v>60</v>
      </c>
      <c r="K46" s="45" t="s">
        <v>186</v>
      </c>
      <c r="L46" s="45">
        <v>60</v>
      </c>
      <c r="M46" s="45" t="s">
        <v>186</v>
      </c>
      <c r="N46" s="45">
        <v>60</v>
      </c>
      <c r="O46" s="45" t="s">
        <v>186</v>
      </c>
      <c r="P46" s="45">
        <v>60</v>
      </c>
      <c r="Q46" s="45" t="s">
        <v>186</v>
      </c>
      <c r="R46" s="45">
        <v>60</v>
      </c>
      <c r="S46" s="45" t="s">
        <v>186</v>
      </c>
      <c r="T46" s="45">
        <v>60</v>
      </c>
      <c r="U46" s="45" t="s">
        <v>186</v>
      </c>
      <c r="V46" s="45">
        <v>60</v>
      </c>
      <c r="W46" s="45" t="s">
        <v>186</v>
      </c>
      <c r="X46" s="45">
        <v>60</v>
      </c>
      <c r="Y46" s="45" t="s">
        <v>186</v>
      </c>
      <c r="Z46" s="45">
        <v>60</v>
      </c>
      <c r="AA46" s="45" t="s">
        <v>186</v>
      </c>
      <c r="AB46" s="45">
        <v>60</v>
      </c>
    </row>
    <row r="47" spans="2:28" ht="12" customHeight="1" x14ac:dyDescent="0.55000000000000004">
      <c r="C47" s="45">
        <f>COUNTA(C19:C46)</f>
        <v>17</v>
      </c>
      <c r="D47" s="45">
        <f>SUM(D19:D46)</f>
        <v>2940</v>
      </c>
      <c r="E47" s="45" t="s">
        <v>289</v>
      </c>
      <c r="F47" s="45">
        <v>60</v>
      </c>
      <c r="G47" s="45" t="s">
        <v>289</v>
      </c>
      <c r="H47" s="45">
        <v>60</v>
      </c>
      <c r="I47" s="45" t="s">
        <v>289</v>
      </c>
      <c r="J47" s="45">
        <v>60</v>
      </c>
      <c r="K47" s="45" t="s">
        <v>289</v>
      </c>
      <c r="L47" s="45">
        <v>60</v>
      </c>
      <c r="M47" s="45" t="s">
        <v>289</v>
      </c>
      <c r="N47" s="45">
        <v>60</v>
      </c>
      <c r="O47" s="45" t="s">
        <v>289</v>
      </c>
      <c r="P47" s="45">
        <v>60</v>
      </c>
      <c r="Q47" s="45" t="s">
        <v>289</v>
      </c>
      <c r="R47" s="45">
        <v>60</v>
      </c>
      <c r="S47" s="45" t="s">
        <v>289</v>
      </c>
      <c r="T47" s="45">
        <v>60</v>
      </c>
      <c r="U47" s="45" t="s">
        <v>289</v>
      </c>
      <c r="V47" s="45">
        <v>60</v>
      </c>
      <c r="W47" s="45" t="s">
        <v>289</v>
      </c>
      <c r="X47" s="45">
        <v>60</v>
      </c>
      <c r="Y47" s="45" t="s">
        <v>289</v>
      </c>
      <c r="Z47" s="45">
        <v>60</v>
      </c>
      <c r="AA47" s="45" t="s">
        <v>289</v>
      </c>
      <c r="AB47" s="45">
        <v>60</v>
      </c>
    </row>
    <row r="48" spans="2:28" ht="12" customHeight="1" x14ac:dyDescent="0.55000000000000004">
      <c r="C48" s="47"/>
      <c r="D48" s="47"/>
      <c r="E48" s="45" t="s">
        <v>290</v>
      </c>
      <c r="F48" s="45">
        <v>60</v>
      </c>
      <c r="G48" s="45" t="s">
        <v>290</v>
      </c>
      <c r="H48" s="45">
        <v>60</v>
      </c>
      <c r="I48" s="45" t="s">
        <v>290</v>
      </c>
      <c r="J48" s="45">
        <v>60</v>
      </c>
      <c r="K48" s="45" t="s">
        <v>290</v>
      </c>
      <c r="L48" s="45">
        <v>60</v>
      </c>
      <c r="M48" s="45" t="s">
        <v>290</v>
      </c>
      <c r="N48" s="45">
        <v>60</v>
      </c>
      <c r="O48" s="45" t="s">
        <v>290</v>
      </c>
      <c r="P48" s="45">
        <v>60</v>
      </c>
      <c r="Q48" s="45" t="s">
        <v>290</v>
      </c>
      <c r="R48" s="45">
        <v>60</v>
      </c>
      <c r="S48" s="45" t="s">
        <v>290</v>
      </c>
      <c r="T48" s="45">
        <v>60</v>
      </c>
      <c r="U48" s="45" t="s">
        <v>290</v>
      </c>
      <c r="V48" s="45">
        <v>60</v>
      </c>
      <c r="W48" s="45" t="s">
        <v>290</v>
      </c>
      <c r="X48" s="45">
        <v>60</v>
      </c>
      <c r="Y48" s="45" t="s">
        <v>290</v>
      </c>
      <c r="Z48" s="45">
        <v>60</v>
      </c>
      <c r="AA48" s="45" t="s">
        <v>290</v>
      </c>
      <c r="AB48" s="45">
        <v>60</v>
      </c>
    </row>
    <row r="49" spans="1:28" ht="12" customHeight="1" x14ac:dyDescent="0.55000000000000004">
      <c r="B49" s="60" t="s">
        <v>347</v>
      </c>
      <c r="C49" s="47"/>
      <c r="D49" s="47"/>
      <c r="E49" s="45" t="s">
        <v>371</v>
      </c>
      <c r="F49" s="45">
        <v>60</v>
      </c>
      <c r="G49" s="45" t="s">
        <v>371</v>
      </c>
      <c r="H49" s="45">
        <v>60</v>
      </c>
      <c r="I49" s="45" t="s">
        <v>371</v>
      </c>
      <c r="J49" s="45">
        <v>60</v>
      </c>
      <c r="K49" s="45" t="s">
        <v>371</v>
      </c>
      <c r="L49" s="45">
        <v>60</v>
      </c>
      <c r="M49" s="45" t="s">
        <v>371</v>
      </c>
      <c r="N49" s="45">
        <v>60</v>
      </c>
      <c r="O49" s="45" t="s">
        <v>371</v>
      </c>
      <c r="P49" s="45">
        <v>60</v>
      </c>
      <c r="Q49" s="45" t="s">
        <v>371</v>
      </c>
      <c r="R49" s="45">
        <v>60</v>
      </c>
      <c r="S49" s="45" t="s">
        <v>371</v>
      </c>
      <c r="T49" s="45">
        <v>60</v>
      </c>
      <c r="U49" s="45" t="s">
        <v>371</v>
      </c>
      <c r="V49" s="45">
        <v>60</v>
      </c>
      <c r="W49" s="45" t="s">
        <v>371</v>
      </c>
      <c r="X49" s="45">
        <v>60</v>
      </c>
      <c r="Y49" s="45" t="s">
        <v>371</v>
      </c>
      <c r="Z49" s="45">
        <v>60</v>
      </c>
      <c r="AA49" s="45" t="s">
        <v>371</v>
      </c>
      <c r="AB49" s="45">
        <v>60</v>
      </c>
    </row>
    <row r="50" spans="1:28" ht="12" customHeight="1" x14ac:dyDescent="0.55000000000000004">
      <c r="C50" s="47"/>
      <c r="D50" s="47"/>
      <c r="E50" s="45"/>
      <c r="F50" s="45"/>
      <c r="G50" s="45"/>
      <c r="H50" s="45"/>
      <c r="I50" s="45"/>
      <c r="J50" s="45"/>
      <c r="K50" s="51" t="s">
        <v>295</v>
      </c>
      <c r="L50" s="45">
        <v>30</v>
      </c>
      <c r="M50" s="45" t="s">
        <v>295</v>
      </c>
      <c r="N50" s="45">
        <v>60</v>
      </c>
      <c r="O50" s="45" t="s">
        <v>295</v>
      </c>
      <c r="P50" s="45">
        <v>60</v>
      </c>
      <c r="Q50" s="45" t="s">
        <v>295</v>
      </c>
      <c r="R50" s="45">
        <v>60</v>
      </c>
      <c r="S50" s="45" t="s">
        <v>295</v>
      </c>
      <c r="T50" s="45">
        <v>60</v>
      </c>
      <c r="U50" s="45" t="s">
        <v>295</v>
      </c>
      <c r="V50" s="45">
        <v>60</v>
      </c>
      <c r="W50" s="45" t="s">
        <v>295</v>
      </c>
      <c r="X50" s="45">
        <v>60</v>
      </c>
      <c r="Y50" s="45" t="s">
        <v>295</v>
      </c>
      <c r="Z50" s="45">
        <v>60</v>
      </c>
      <c r="AA50" s="45" t="s">
        <v>295</v>
      </c>
      <c r="AB50" s="45">
        <v>60</v>
      </c>
    </row>
    <row r="51" spans="1:28" ht="12" customHeight="1" x14ac:dyDescent="0.55000000000000004">
      <c r="C51" s="47"/>
      <c r="D51" s="47"/>
      <c r="E51" s="45"/>
      <c r="F51" s="45"/>
      <c r="G51" s="45"/>
      <c r="H51" s="45"/>
      <c r="I51" s="45"/>
      <c r="J51" s="45"/>
      <c r="K51" s="51" t="s">
        <v>287</v>
      </c>
      <c r="L51" s="45">
        <v>30</v>
      </c>
      <c r="M51" s="45" t="s">
        <v>287</v>
      </c>
      <c r="N51" s="45">
        <v>60</v>
      </c>
      <c r="O51" s="45" t="s">
        <v>287</v>
      </c>
      <c r="P51" s="45">
        <v>60</v>
      </c>
      <c r="Q51" s="45" t="s">
        <v>287</v>
      </c>
      <c r="R51" s="45">
        <v>60</v>
      </c>
      <c r="S51" s="45" t="s">
        <v>287</v>
      </c>
      <c r="T51" s="45">
        <v>60</v>
      </c>
      <c r="U51" s="45" t="s">
        <v>287</v>
      </c>
      <c r="V51" s="45">
        <v>60</v>
      </c>
      <c r="W51" s="45" t="s">
        <v>287</v>
      </c>
      <c r="X51" s="45">
        <v>60</v>
      </c>
      <c r="Y51" s="45" t="s">
        <v>287</v>
      </c>
      <c r="Z51" s="45">
        <v>60</v>
      </c>
      <c r="AA51" s="45" t="s">
        <v>287</v>
      </c>
      <c r="AB51" s="45">
        <v>60</v>
      </c>
    </row>
    <row r="52" spans="1:28" ht="12" customHeight="1" x14ac:dyDescent="0.55000000000000004">
      <c r="B52" s="60" t="s">
        <v>347</v>
      </c>
      <c r="C52" s="47"/>
      <c r="D52" s="47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51" t="s">
        <v>372</v>
      </c>
      <c r="P52" s="45">
        <v>60</v>
      </c>
      <c r="Q52" s="45" t="s">
        <v>372</v>
      </c>
      <c r="R52" s="45">
        <v>60</v>
      </c>
      <c r="S52" s="45" t="s">
        <v>372</v>
      </c>
      <c r="T52" s="45">
        <v>60</v>
      </c>
      <c r="U52" s="45" t="s">
        <v>372</v>
      </c>
      <c r="V52" s="45">
        <v>60</v>
      </c>
      <c r="W52" s="45" t="s">
        <v>372</v>
      </c>
      <c r="X52" s="45">
        <v>60</v>
      </c>
      <c r="Y52" s="45" t="s">
        <v>372</v>
      </c>
      <c r="Z52" s="45">
        <v>60</v>
      </c>
      <c r="AA52" s="45" t="s">
        <v>372</v>
      </c>
      <c r="AB52" s="45">
        <v>60</v>
      </c>
    </row>
    <row r="53" spans="1:28" ht="12" customHeight="1" x14ac:dyDescent="0.55000000000000004">
      <c r="C53" s="47"/>
      <c r="D53" s="47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51" t="s">
        <v>296</v>
      </c>
      <c r="P53" s="45">
        <v>60</v>
      </c>
      <c r="Q53" s="45" t="s">
        <v>296</v>
      </c>
      <c r="R53" s="45">
        <v>60</v>
      </c>
      <c r="S53" s="45" t="s">
        <v>296</v>
      </c>
      <c r="T53" s="45">
        <v>60</v>
      </c>
      <c r="U53" s="45" t="s">
        <v>296</v>
      </c>
      <c r="V53" s="45">
        <v>60</v>
      </c>
      <c r="W53" s="45" t="s">
        <v>296</v>
      </c>
      <c r="X53" s="45">
        <v>60</v>
      </c>
      <c r="Y53" s="45" t="s">
        <v>296</v>
      </c>
      <c r="Z53" s="45">
        <v>60</v>
      </c>
      <c r="AA53" s="45" t="s">
        <v>296</v>
      </c>
      <c r="AB53" s="45">
        <v>60</v>
      </c>
    </row>
    <row r="54" spans="1:28" ht="12" customHeight="1" x14ac:dyDescent="0.55000000000000004">
      <c r="C54" s="47"/>
      <c r="D54" s="47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51" t="s">
        <v>336</v>
      </c>
      <c r="P54" s="45">
        <v>60</v>
      </c>
      <c r="Q54" s="45" t="s">
        <v>336</v>
      </c>
      <c r="R54" s="45">
        <v>60</v>
      </c>
      <c r="S54" s="45" t="s">
        <v>336</v>
      </c>
      <c r="T54" s="45">
        <v>60</v>
      </c>
      <c r="U54" s="45" t="s">
        <v>336</v>
      </c>
      <c r="V54" s="45">
        <v>60</v>
      </c>
      <c r="W54" s="85" t="s">
        <v>337</v>
      </c>
      <c r="X54" s="64"/>
      <c r="Y54" s="64"/>
      <c r="Z54" s="64"/>
      <c r="AA54" s="64"/>
      <c r="AB54" s="64"/>
    </row>
    <row r="55" spans="1:28" ht="12" customHeight="1" x14ac:dyDescent="0.55000000000000004">
      <c r="C55" s="47"/>
      <c r="D55" s="47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</row>
    <row r="56" spans="1:28" ht="12" customHeight="1" x14ac:dyDescent="0.55000000000000004">
      <c r="C56" s="47"/>
      <c r="D56" s="47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</row>
    <row r="57" spans="1:28" ht="12" customHeight="1" x14ac:dyDescent="0.55000000000000004">
      <c r="C57" s="47"/>
      <c r="D57" s="47"/>
      <c r="E57" s="73">
        <f>COUNTA(E29:E56)</f>
        <v>20</v>
      </c>
      <c r="F57" s="73">
        <f>SUM(F29:F56)</f>
        <v>1200</v>
      </c>
      <c r="G57" s="73">
        <f>COUNTA(G29:G56)</f>
        <v>20</v>
      </c>
      <c r="H57" s="73">
        <f>SUM(H29:H56)</f>
        <v>1200</v>
      </c>
      <c r="I57" s="73">
        <f>COUNTA(I29:I56)</f>
        <v>18</v>
      </c>
      <c r="J57" s="73">
        <f>SUM(J29:J56)</f>
        <v>1080</v>
      </c>
      <c r="K57" s="73">
        <f>COUNTA(K29:K56)</f>
        <v>20</v>
      </c>
      <c r="L57" s="73">
        <f>SUM(L29:L56)</f>
        <v>1140</v>
      </c>
      <c r="M57" s="73">
        <f>COUNTA(M29:M56)</f>
        <v>19</v>
      </c>
      <c r="N57" s="73">
        <f>SUM(N29:N56)</f>
        <v>1140</v>
      </c>
      <c r="O57" s="73">
        <f>COUNTA(O29:O56)</f>
        <v>22</v>
      </c>
      <c r="P57" s="73">
        <f>SUM(P29:P56)</f>
        <v>1320</v>
      </c>
      <c r="Q57" s="73">
        <f>COUNTA(Q29:Q56)</f>
        <v>22</v>
      </c>
      <c r="R57" s="73">
        <f>SUM(R29:R56)</f>
        <v>1320</v>
      </c>
      <c r="S57" s="73">
        <f>COUNTA(S29:S56)</f>
        <v>22</v>
      </c>
      <c r="T57" s="73">
        <f>SUM(T29:T56)</f>
        <v>1320</v>
      </c>
      <c r="U57" s="73">
        <f>COUNTA(U29:U56)</f>
        <v>22</v>
      </c>
      <c r="V57" s="73">
        <f>SUM(V29:V56)</f>
        <v>1320</v>
      </c>
      <c r="W57" s="73">
        <f>COUNTA(W29:W56)</f>
        <v>22</v>
      </c>
      <c r="X57" s="73">
        <f>SUM(X29:X56)</f>
        <v>1260</v>
      </c>
      <c r="Y57" s="73">
        <f>COUNTA(Y29:Y56)</f>
        <v>21</v>
      </c>
      <c r="Z57" s="73">
        <f>SUM(Z29:Z56)</f>
        <v>1260</v>
      </c>
      <c r="AA57" s="73">
        <f>COUNTA(AA29:AA56)</f>
        <v>21</v>
      </c>
      <c r="AB57" s="73">
        <f>SUM(AB29:AB56)</f>
        <v>1260</v>
      </c>
    </row>
    <row r="58" spans="1:28" ht="12" customHeight="1" x14ac:dyDescent="0.55000000000000004">
      <c r="C58" s="26" t="s">
        <v>175</v>
      </c>
      <c r="D58" s="47"/>
      <c r="E58" s="46"/>
      <c r="F58" s="47"/>
      <c r="G58" s="46"/>
      <c r="H58" s="47"/>
      <c r="I58" s="46"/>
      <c r="J58" s="47"/>
      <c r="K58" s="46"/>
      <c r="L58" s="47"/>
      <c r="M58" s="46"/>
      <c r="N58" s="47"/>
      <c r="O58" s="46"/>
      <c r="P58" s="47"/>
      <c r="Q58" s="46"/>
      <c r="R58" s="47"/>
      <c r="S58" s="46"/>
      <c r="T58" s="47"/>
      <c r="U58" s="46"/>
      <c r="V58" s="47"/>
      <c r="W58" s="46"/>
      <c r="X58" s="47"/>
      <c r="Y58" s="46"/>
      <c r="Z58" s="47"/>
      <c r="AA58" s="46"/>
      <c r="AB58" s="47"/>
    </row>
    <row r="59" spans="1:28" ht="12" customHeight="1" x14ac:dyDescent="0.55000000000000004">
      <c r="A59" s="397" t="s">
        <v>297</v>
      </c>
      <c r="B59" s="398"/>
      <c r="C59" s="253" t="s">
        <v>4</v>
      </c>
      <c r="D59" s="400"/>
      <c r="E59" s="396" t="s">
        <v>5</v>
      </c>
      <c r="F59" s="396"/>
      <c r="G59" s="396" t="s">
        <v>6</v>
      </c>
      <c r="H59" s="396"/>
      <c r="I59" s="396" t="s">
        <v>7</v>
      </c>
      <c r="J59" s="396"/>
      <c r="K59" s="396" t="s">
        <v>8</v>
      </c>
      <c r="L59" s="396"/>
      <c r="M59" s="396" t="s">
        <v>10</v>
      </c>
      <c r="N59" s="396"/>
      <c r="O59" s="396" t="s">
        <v>11</v>
      </c>
      <c r="P59" s="396"/>
      <c r="Q59" s="396" t="s">
        <v>12</v>
      </c>
      <c r="R59" s="396"/>
      <c r="S59" s="396" t="s">
        <v>13</v>
      </c>
      <c r="T59" s="396"/>
      <c r="U59" s="396" t="s">
        <v>14</v>
      </c>
      <c r="V59" s="396"/>
      <c r="W59" s="396" t="s">
        <v>15</v>
      </c>
      <c r="X59" s="396"/>
      <c r="Y59" s="396" t="s">
        <v>16</v>
      </c>
      <c r="Z59" s="396"/>
      <c r="AA59" s="396" t="s">
        <v>4</v>
      </c>
      <c r="AB59" s="396"/>
    </row>
    <row r="60" spans="1:28" ht="12" customHeight="1" x14ac:dyDescent="0.55000000000000004">
      <c r="C60" s="45" t="s">
        <v>163</v>
      </c>
      <c r="D60" s="45">
        <v>200</v>
      </c>
      <c r="E60" s="66" t="s">
        <v>194</v>
      </c>
      <c r="F60" s="66">
        <v>80</v>
      </c>
      <c r="G60" s="66" t="s">
        <v>194</v>
      </c>
      <c r="H60" s="66">
        <v>80</v>
      </c>
      <c r="I60" s="66" t="s">
        <v>194</v>
      </c>
      <c r="J60" s="66">
        <v>80</v>
      </c>
      <c r="K60" s="66" t="s">
        <v>194</v>
      </c>
      <c r="L60" s="66">
        <v>33</v>
      </c>
      <c r="M60" s="66" t="s">
        <v>194</v>
      </c>
      <c r="N60" s="66">
        <v>39</v>
      </c>
      <c r="O60" s="67"/>
      <c r="P60" s="67"/>
      <c r="Q60" s="67"/>
      <c r="R60" s="67"/>
      <c r="S60" s="45"/>
      <c r="T60" s="45"/>
      <c r="U60" s="45"/>
      <c r="V60" s="45"/>
      <c r="W60" s="45"/>
      <c r="X60" s="45"/>
      <c r="Y60" s="45"/>
      <c r="Z60" s="45"/>
      <c r="AA60" s="45"/>
      <c r="AB60" s="45"/>
    </row>
    <row r="61" spans="1:28" ht="12" customHeight="1" x14ac:dyDescent="0.55000000000000004">
      <c r="C61" s="45"/>
      <c r="D61" s="45"/>
      <c r="E61" s="45" t="s">
        <v>193</v>
      </c>
      <c r="F61" s="45">
        <v>80</v>
      </c>
      <c r="G61" s="45" t="s">
        <v>193</v>
      </c>
      <c r="H61" s="45">
        <v>80</v>
      </c>
      <c r="I61" s="45" t="s">
        <v>193</v>
      </c>
      <c r="J61" s="45">
        <v>80</v>
      </c>
      <c r="K61" s="45" t="s">
        <v>193</v>
      </c>
      <c r="L61" s="45">
        <v>44</v>
      </c>
      <c r="M61" s="45" t="s">
        <v>193</v>
      </c>
      <c r="N61" s="45">
        <v>55</v>
      </c>
      <c r="O61" s="64"/>
      <c r="P61" s="64"/>
      <c r="Q61" s="64"/>
      <c r="R61" s="64"/>
      <c r="S61" s="45"/>
      <c r="T61" s="45"/>
      <c r="U61" s="45"/>
      <c r="V61" s="45"/>
      <c r="W61" s="45"/>
      <c r="X61" s="45"/>
      <c r="Y61" s="45"/>
      <c r="Z61" s="45"/>
      <c r="AA61" s="45"/>
      <c r="AB61" s="45"/>
    </row>
    <row r="62" spans="1:28" ht="12" customHeight="1" x14ac:dyDescent="0.55000000000000004">
      <c r="C62" s="45"/>
      <c r="D62" s="45"/>
      <c r="E62" s="45" t="s">
        <v>195</v>
      </c>
      <c r="F62" s="45">
        <v>80</v>
      </c>
      <c r="G62" s="45" t="s">
        <v>195</v>
      </c>
      <c r="H62" s="45">
        <v>80</v>
      </c>
      <c r="I62" s="45" t="s">
        <v>195</v>
      </c>
      <c r="J62" s="45">
        <v>80</v>
      </c>
      <c r="K62" s="45" t="s">
        <v>195</v>
      </c>
      <c r="L62" s="45">
        <v>44</v>
      </c>
      <c r="M62" s="45" t="s">
        <v>195</v>
      </c>
      <c r="N62" s="45">
        <v>55</v>
      </c>
      <c r="O62" s="64"/>
      <c r="P62" s="64"/>
      <c r="Q62" s="64"/>
      <c r="R62" s="64"/>
      <c r="S62" s="45"/>
      <c r="T62" s="45"/>
      <c r="U62" s="45"/>
      <c r="V62" s="45"/>
      <c r="W62" s="45"/>
      <c r="X62" s="45"/>
      <c r="Y62" s="45"/>
      <c r="Z62" s="45"/>
      <c r="AA62" s="45"/>
      <c r="AB62" s="45"/>
    </row>
    <row r="63" spans="1:28" ht="12" customHeight="1" x14ac:dyDescent="0.55000000000000004">
      <c r="C63" s="45"/>
      <c r="D63" s="45"/>
      <c r="E63" s="45" t="s">
        <v>197</v>
      </c>
      <c r="F63" s="45">
        <v>80</v>
      </c>
      <c r="G63" s="45" t="s">
        <v>197</v>
      </c>
      <c r="H63" s="45">
        <v>80</v>
      </c>
      <c r="I63" s="45" t="s">
        <v>197</v>
      </c>
      <c r="J63" s="45">
        <v>80</v>
      </c>
      <c r="K63" s="45" t="s">
        <v>197</v>
      </c>
      <c r="L63" s="45">
        <v>44</v>
      </c>
      <c r="M63" s="45" t="s">
        <v>197</v>
      </c>
      <c r="N63" s="45">
        <v>55</v>
      </c>
      <c r="O63" s="64"/>
      <c r="P63" s="64"/>
      <c r="Q63" s="64"/>
      <c r="R63" s="64"/>
      <c r="S63" s="45"/>
      <c r="T63" s="45"/>
      <c r="U63" s="45"/>
      <c r="V63" s="45"/>
      <c r="W63" s="45"/>
      <c r="X63" s="45"/>
      <c r="Y63" s="45"/>
      <c r="Z63" s="45"/>
      <c r="AA63" s="45"/>
      <c r="AB63" s="45"/>
    </row>
    <row r="64" spans="1:28" ht="12" customHeight="1" x14ac:dyDescent="0.55000000000000004">
      <c r="C64" s="45"/>
      <c r="D64" s="45"/>
      <c r="E64" s="45" t="s">
        <v>196</v>
      </c>
      <c r="F64" s="45">
        <v>80</v>
      </c>
      <c r="G64" s="45" t="s">
        <v>196</v>
      </c>
      <c r="H64" s="45">
        <v>80</v>
      </c>
      <c r="I64" s="45" t="s">
        <v>196</v>
      </c>
      <c r="J64" s="45">
        <v>80</v>
      </c>
      <c r="K64" s="45" t="s">
        <v>196</v>
      </c>
      <c r="L64" s="45">
        <v>44</v>
      </c>
      <c r="M64" s="45" t="s">
        <v>196</v>
      </c>
      <c r="N64" s="45">
        <v>55</v>
      </c>
      <c r="O64" s="64"/>
      <c r="P64" s="64"/>
      <c r="Q64" s="64"/>
      <c r="R64" s="64"/>
      <c r="S64" s="45"/>
      <c r="T64" s="45"/>
      <c r="U64" s="45"/>
      <c r="V64" s="45"/>
      <c r="W64" s="45"/>
      <c r="X64" s="45"/>
      <c r="Y64" s="45"/>
      <c r="Z64" s="45"/>
      <c r="AA64" s="45"/>
      <c r="AB64" s="45"/>
    </row>
    <row r="65" spans="1:28" ht="12" customHeight="1" x14ac:dyDescent="0.55000000000000004">
      <c r="C65" s="45"/>
      <c r="D65" s="45"/>
      <c r="E65" s="45" t="s">
        <v>198</v>
      </c>
      <c r="F65" s="45">
        <v>80</v>
      </c>
      <c r="G65" s="45" t="s">
        <v>198</v>
      </c>
      <c r="H65" s="45">
        <v>80</v>
      </c>
      <c r="I65" s="45" t="s">
        <v>198</v>
      </c>
      <c r="J65" s="45">
        <v>80</v>
      </c>
      <c r="K65" s="45" t="s">
        <v>198</v>
      </c>
      <c r="L65" s="45">
        <v>33</v>
      </c>
      <c r="M65" s="45" t="s">
        <v>198</v>
      </c>
      <c r="N65" s="45">
        <v>39</v>
      </c>
      <c r="O65" s="64"/>
      <c r="P65" s="64"/>
      <c r="Q65" s="64"/>
      <c r="R65" s="64"/>
      <c r="S65" s="45"/>
      <c r="T65" s="45"/>
      <c r="U65" s="45"/>
      <c r="V65" s="45"/>
      <c r="W65" s="45"/>
      <c r="X65" s="45"/>
      <c r="Y65" s="45"/>
      <c r="Z65" s="45"/>
      <c r="AA65" s="45"/>
      <c r="AB65" s="45"/>
    </row>
    <row r="66" spans="1:28" ht="12" customHeight="1" x14ac:dyDescent="0.55000000000000004">
      <c r="C66" s="45"/>
      <c r="D66" s="45"/>
      <c r="E66" s="45" t="s">
        <v>298</v>
      </c>
      <c r="F66" s="45">
        <v>80</v>
      </c>
      <c r="G66" s="45" t="s">
        <v>298</v>
      </c>
      <c r="H66" s="45">
        <v>80</v>
      </c>
      <c r="I66" s="45" t="s">
        <v>298</v>
      </c>
      <c r="J66" s="45">
        <v>80</v>
      </c>
      <c r="K66" s="45" t="s">
        <v>298</v>
      </c>
      <c r="L66" s="45">
        <v>33</v>
      </c>
      <c r="M66" s="45" t="s">
        <v>298</v>
      </c>
      <c r="N66" s="45">
        <v>39</v>
      </c>
      <c r="O66" s="64"/>
      <c r="P66" s="64"/>
      <c r="Q66" s="64"/>
      <c r="R66" s="64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 spans="1:28" ht="12" customHeight="1" x14ac:dyDescent="0.55000000000000004">
      <c r="C67" s="45"/>
      <c r="D67" s="45"/>
      <c r="E67" s="45" t="s">
        <v>299</v>
      </c>
      <c r="F67" s="45">
        <v>80</v>
      </c>
      <c r="G67" s="45" t="s">
        <v>299</v>
      </c>
      <c r="H67" s="45">
        <v>80</v>
      </c>
      <c r="I67" s="45" t="s">
        <v>299</v>
      </c>
      <c r="J67" s="45">
        <v>80</v>
      </c>
      <c r="K67" s="45" t="s">
        <v>299</v>
      </c>
      <c r="L67" s="45">
        <v>33</v>
      </c>
      <c r="M67" s="45" t="s">
        <v>299</v>
      </c>
      <c r="N67" s="45">
        <v>39</v>
      </c>
      <c r="O67" s="64"/>
      <c r="P67" s="64"/>
      <c r="Q67" s="64"/>
      <c r="R67" s="64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 spans="1:28" ht="12" customHeight="1" x14ac:dyDescent="0.55000000000000004">
      <c r="C68" s="45"/>
      <c r="D68" s="45"/>
      <c r="E68" s="45"/>
      <c r="F68" s="45"/>
      <c r="G68" s="45"/>
      <c r="H68" s="45"/>
      <c r="I68" s="45"/>
      <c r="J68" s="45"/>
      <c r="K68" s="51" t="s">
        <v>199</v>
      </c>
      <c r="L68" s="45">
        <v>44</v>
      </c>
      <c r="M68" s="45" t="s">
        <v>199</v>
      </c>
      <c r="N68" s="45">
        <v>55</v>
      </c>
      <c r="O68" s="45" t="s">
        <v>199</v>
      </c>
      <c r="P68" s="45">
        <v>33</v>
      </c>
      <c r="Q68" s="45" t="s">
        <v>199</v>
      </c>
      <c r="R68" s="45">
        <v>33</v>
      </c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 spans="1:28" ht="12" customHeight="1" x14ac:dyDescent="0.55000000000000004">
      <c r="C69" s="45"/>
      <c r="D69" s="45"/>
      <c r="E69" s="45"/>
      <c r="F69" s="45"/>
      <c r="G69" s="45"/>
      <c r="H69" s="45"/>
      <c r="I69" s="45"/>
      <c r="J69" s="45"/>
      <c r="K69" s="51" t="s">
        <v>200</v>
      </c>
      <c r="L69" s="45">
        <v>44</v>
      </c>
      <c r="M69" s="45" t="s">
        <v>200</v>
      </c>
      <c r="N69" s="45">
        <v>55</v>
      </c>
      <c r="O69" s="45" t="s">
        <v>200</v>
      </c>
      <c r="P69" s="45">
        <v>33</v>
      </c>
      <c r="Q69" s="45" t="s">
        <v>200</v>
      </c>
      <c r="R69" s="45">
        <v>33</v>
      </c>
      <c r="S69" s="45"/>
      <c r="T69" s="45"/>
      <c r="U69" s="45"/>
      <c r="V69" s="45"/>
      <c r="W69" s="45"/>
      <c r="X69" s="45"/>
      <c r="Y69" s="45"/>
      <c r="Z69" s="45"/>
      <c r="AA69" s="45"/>
      <c r="AB69" s="45"/>
    </row>
    <row r="70" spans="1:28" ht="12" customHeight="1" x14ac:dyDescent="0.55000000000000004">
      <c r="C70" s="45"/>
      <c r="D70" s="45"/>
      <c r="E70" s="45"/>
      <c r="F70" s="45"/>
      <c r="G70" s="45"/>
      <c r="H70" s="45"/>
      <c r="I70" s="45"/>
      <c r="J70" s="45"/>
      <c r="K70" s="51" t="s">
        <v>201</v>
      </c>
      <c r="L70" s="45">
        <v>44</v>
      </c>
      <c r="M70" s="45" t="s">
        <v>201</v>
      </c>
      <c r="N70" s="45">
        <v>55</v>
      </c>
      <c r="O70" s="45" t="s">
        <v>201</v>
      </c>
      <c r="P70" s="45">
        <v>33</v>
      </c>
      <c r="Q70" s="45" t="s">
        <v>201</v>
      </c>
      <c r="R70" s="45">
        <v>33</v>
      </c>
      <c r="S70" s="45"/>
      <c r="T70" s="45"/>
      <c r="U70" s="45"/>
      <c r="V70" s="45"/>
      <c r="W70" s="45"/>
      <c r="X70" s="45"/>
      <c r="Y70" s="45"/>
      <c r="Z70" s="45"/>
      <c r="AA70" s="45"/>
      <c r="AB70" s="45"/>
    </row>
    <row r="71" spans="1:28" ht="12" customHeight="1" x14ac:dyDescent="0.55000000000000004">
      <c r="B71" s="60" t="s">
        <v>267</v>
      </c>
      <c r="C71" s="45"/>
      <c r="D71" s="45"/>
      <c r="E71" s="45"/>
      <c r="F71" s="45"/>
      <c r="G71" s="45"/>
      <c r="H71" s="45"/>
      <c r="I71" s="45"/>
      <c r="J71" s="45"/>
      <c r="K71" s="51" t="s">
        <v>300</v>
      </c>
      <c r="L71" s="45">
        <v>71</v>
      </c>
      <c r="M71" s="45" t="s">
        <v>300</v>
      </c>
      <c r="N71" s="45">
        <v>100</v>
      </c>
      <c r="O71" s="45" t="s">
        <v>300</v>
      </c>
      <c r="P71" s="45">
        <v>80</v>
      </c>
      <c r="Q71" s="45" t="s">
        <v>300</v>
      </c>
      <c r="R71" s="45">
        <v>50</v>
      </c>
      <c r="S71" s="45"/>
      <c r="T71" s="45"/>
      <c r="U71" s="45"/>
      <c r="V71" s="45"/>
      <c r="W71" s="45"/>
      <c r="X71" s="45"/>
      <c r="Y71" s="45"/>
      <c r="Z71" s="45"/>
      <c r="AA71" s="45"/>
      <c r="AB71" s="45"/>
    </row>
    <row r="72" spans="1:28" ht="12" customHeight="1" x14ac:dyDescent="0.55000000000000004">
      <c r="C72" s="45">
        <f>COUNTA(C60:C71)</f>
        <v>1</v>
      </c>
      <c r="D72" s="45"/>
      <c r="E72" s="73">
        <f>COUNTA(E60:E71)</f>
        <v>8</v>
      </c>
      <c r="F72" s="73">
        <f>SUM(F60:F71)</f>
        <v>640</v>
      </c>
      <c r="G72" s="73">
        <f>COUNTA(G60:G71)</f>
        <v>8</v>
      </c>
      <c r="H72" s="73">
        <f>SUM(H60:H71)</f>
        <v>640</v>
      </c>
      <c r="I72" s="73">
        <f>COUNTA(I60:I71)</f>
        <v>8</v>
      </c>
      <c r="J72" s="73">
        <f>SUM(J60:J71)</f>
        <v>640</v>
      </c>
      <c r="K72" s="73">
        <f>COUNTA(K60:K71)</f>
        <v>12</v>
      </c>
      <c r="L72" s="73">
        <f>SUM(L60:L71)</f>
        <v>511</v>
      </c>
      <c r="M72" s="73">
        <f>COUNTA(M60:M71)</f>
        <v>12</v>
      </c>
      <c r="N72" s="73">
        <f>SUM(N60:N71)</f>
        <v>641</v>
      </c>
      <c r="O72" s="73">
        <f>COUNTA(O60:O71)</f>
        <v>4</v>
      </c>
      <c r="P72" s="73">
        <f>SUM(P60:P71)</f>
        <v>179</v>
      </c>
      <c r="Q72" s="73">
        <f>COUNTA(Q60:Q71)</f>
        <v>4</v>
      </c>
      <c r="R72" s="73">
        <f>SUM(R60:R71)</f>
        <v>149</v>
      </c>
      <c r="S72" s="73">
        <f>COUNTA(S60:S71)</f>
        <v>0</v>
      </c>
      <c r="T72" s="73">
        <f>SUM(T60:T71)</f>
        <v>0</v>
      </c>
      <c r="U72" s="73">
        <f>COUNTA(U60:U71)</f>
        <v>0</v>
      </c>
      <c r="V72" s="73">
        <f>SUM(V60:V71)</f>
        <v>0</v>
      </c>
      <c r="W72" s="73">
        <f>COUNTA(W60:W71)</f>
        <v>0</v>
      </c>
      <c r="X72" s="73">
        <f>SUM(X60:X71)</f>
        <v>0</v>
      </c>
      <c r="Y72" s="73">
        <f>COUNTA(Y60:Y71)</f>
        <v>0</v>
      </c>
      <c r="Z72" s="73">
        <f>SUM(Z60:Z71)</f>
        <v>0</v>
      </c>
      <c r="AA72" s="73">
        <f>COUNTA(AA60:AA71)</f>
        <v>0</v>
      </c>
      <c r="AB72" s="73">
        <f>SUM(AB60:AB71)</f>
        <v>0</v>
      </c>
    </row>
    <row r="73" spans="1:28" ht="12" customHeight="1" x14ac:dyDescent="0.55000000000000004">
      <c r="D73"/>
      <c r="E73"/>
    </row>
    <row r="74" spans="1:28" ht="12" customHeight="1" x14ac:dyDescent="0.55000000000000004">
      <c r="A74" s="397" t="s">
        <v>256</v>
      </c>
      <c r="B74" s="398"/>
      <c r="C74" s="253" t="s">
        <v>4</v>
      </c>
      <c r="D74" s="400"/>
      <c r="E74" s="396" t="s">
        <v>5</v>
      </c>
      <c r="F74" s="396"/>
      <c r="G74" s="396" t="s">
        <v>6</v>
      </c>
      <c r="H74" s="396"/>
      <c r="I74" s="396" t="s">
        <v>7</v>
      </c>
      <c r="J74" s="396"/>
      <c r="K74" s="396" t="s">
        <v>8</v>
      </c>
      <c r="L74" s="396"/>
      <c r="M74" s="396" t="s">
        <v>10</v>
      </c>
      <c r="N74" s="396"/>
      <c r="O74" s="396" t="s">
        <v>11</v>
      </c>
      <c r="P74" s="396"/>
      <c r="Q74" s="396" t="s">
        <v>12</v>
      </c>
      <c r="R74" s="396"/>
      <c r="S74" s="396" t="s">
        <v>13</v>
      </c>
      <c r="T74" s="396"/>
      <c r="U74" s="396" t="s">
        <v>14</v>
      </c>
      <c r="V74" s="396"/>
      <c r="W74" s="396" t="s">
        <v>15</v>
      </c>
      <c r="X74" s="396"/>
      <c r="Y74" s="396" t="s">
        <v>16</v>
      </c>
      <c r="Z74" s="396"/>
      <c r="AA74" s="396" t="s">
        <v>4</v>
      </c>
      <c r="AB74" s="396"/>
    </row>
    <row r="75" spans="1:28" ht="12" customHeight="1" x14ac:dyDescent="0.55000000000000004">
      <c r="D75"/>
      <c r="E75" s="68" t="s">
        <v>301</v>
      </c>
      <c r="F75" s="66">
        <v>100</v>
      </c>
      <c r="G75" s="66" t="s">
        <v>301</v>
      </c>
      <c r="H75" s="66">
        <v>100</v>
      </c>
      <c r="I75" s="66" t="s">
        <v>301</v>
      </c>
      <c r="J75" s="66">
        <v>80</v>
      </c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45" t="s">
        <v>319</v>
      </c>
      <c r="V75" s="45">
        <v>100</v>
      </c>
      <c r="W75" s="45" t="s">
        <v>319</v>
      </c>
      <c r="X75" s="45">
        <v>120</v>
      </c>
      <c r="Y75" s="45" t="s">
        <v>319</v>
      </c>
      <c r="Z75" s="45">
        <v>80</v>
      </c>
      <c r="AA75" s="64"/>
      <c r="AB75" s="64"/>
    </row>
    <row r="76" spans="1:28" ht="12" customHeight="1" x14ac:dyDescent="0.55000000000000004">
      <c r="D76"/>
      <c r="E76" s="51" t="s">
        <v>302</v>
      </c>
      <c r="F76" s="66">
        <v>100</v>
      </c>
      <c r="G76" s="45" t="s">
        <v>302</v>
      </c>
      <c r="H76" s="66">
        <v>100</v>
      </c>
      <c r="I76" s="45" t="s">
        <v>302</v>
      </c>
      <c r="J76" s="45">
        <v>80</v>
      </c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45"/>
      <c r="V76" s="45"/>
      <c r="W76" s="45"/>
      <c r="X76" s="45"/>
      <c r="Y76" s="45"/>
      <c r="Z76" s="45"/>
      <c r="AA76" s="45"/>
      <c r="AB76" s="45"/>
    </row>
    <row r="77" spans="1:28" ht="12" customHeight="1" x14ac:dyDescent="0.55000000000000004">
      <c r="D77"/>
      <c r="E77" s="51" t="s">
        <v>303</v>
      </c>
      <c r="F77" s="66">
        <v>100</v>
      </c>
      <c r="G77" s="45" t="s">
        <v>303</v>
      </c>
      <c r="H77" s="66">
        <v>100</v>
      </c>
      <c r="I77" s="45" t="s">
        <v>303</v>
      </c>
      <c r="J77" s="45">
        <v>80</v>
      </c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45"/>
      <c r="V77" s="45"/>
      <c r="W77" s="45"/>
      <c r="X77" s="45"/>
      <c r="Y77" s="45"/>
      <c r="Z77" s="45"/>
      <c r="AA77" s="45"/>
      <c r="AB77" s="45"/>
    </row>
    <row r="78" spans="1:28" ht="12" customHeight="1" x14ac:dyDescent="0.55000000000000004">
      <c r="D78"/>
      <c r="E78" s="51" t="s">
        <v>304</v>
      </c>
      <c r="F78" s="66">
        <v>100</v>
      </c>
      <c r="G78" s="45" t="s">
        <v>304</v>
      </c>
      <c r="H78" s="66">
        <v>100</v>
      </c>
      <c r="I78" s="45" t="s">
        <v>304</v>
      </c>
      <c r="J78" s="45">
        <v>80</v>
      </c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45"/>
      <c r="V78" s="45"/>
      <c r="W78" s="45"/>
      <c r="X78" s="45"/>
      <c r="Y78" s="45"/>
      <c r="Z78" s="45"/>
      <c r="AA78" s="45"/>
      <c r="AB78" s="45"/>
    </row>
    <row r="79" spans="1:28" ht="12" customHeight="1" x14ac:dyDescent="0.55000000000000004">
      <c r="D79"/>
      <c r="E79" s="51" t="s">
        <v>232</v>
      </c>
      <c r="F79" s="66">
        <v>100</v>
      </c>
      <c r="G79" s="45" t="s">
        <v>232</v>
      </c>
      <c r="H79" s="66">
        <v>100</v>
      </c>
      <c r="I79" s="45" t="s">
        <v>232</v>
      </c>
      <c r="J79" s="45">
        <v>80</v>
      </c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45"/>
      <c r="V79" s="45"/>
      <c r="W79" s="45"/>
      <c r="X79" s="45"/>
      <c r="Y79" s="45"/>
      <c r="Z79" s="45"/>
      <c r="AA79" s="45"/>
      <c r="AB79" s="45"/>
    </row>
    <row r="80" spans="1:28" ht="12" customHeight="1" x14ac:dyDescent="0.55000000000000004">
      <c r="D80"/>
      <c r="E80" s="45"/>
      <c r="F80" s="45"/>
      <c r="G80" s="51" t="s">
        <v>305</v>
      </c>
      <c r="H80" s="66">
        <v>100</v>
      </c>
      <c r="I80" s="45" t="s">
        <v>305</v>
      </c>
      <c r="J80" s="45">
        <v>100</v>
      </c>
      <c r="K80" s="45" t="s">
        <v>305</v>
      </c>
      <c r="L80" s="45">
        <v>80</v>
      </c>
      <c r="M80" s="64"/>
      <c r="N80" s="64"/>
      <c r="O80" s="64"/>
      <c r="P80" s="64"/>
      <c r="Q80" s="64"/>
      <c r="R80" s="64"/>
      <c r="S80" s="64"/>
      <c r="T80" s="64"/>
      <c r="U80" s="45"/>
      <c r="V80" s="45"/>
      <c r="W80" s="45"/>
      <c r="X80" s="45"/>
      <c r="Y80" s="45"/>
      <c r="Z80" s="45"/>
      <c r="AA80" s="45"/>
      <c r="AB80" s="45"/>
    </row>
    <row r="81" spans="1:28" ht="12" customHeight="1" x14ac:dyDescent="0.55000000000000004">
      <c r="D81"/>
      <c r="E81" s="45"/>
      <c r="F81" s="45"/>
      <c r="G81" s="45"/>
      <c r="H81" s="45"/>
      <c r="I81" s="45"/>
      <c r="J81" s="45"/>
      <c r="K81" s="51" t="s">
        <v>306</v>
      </c>
      <c r="L81" s="66">
        <v>100</v>
      </c>
      <c r="M81" s="45" t="s">
        <v>306</v>
      </c>
      <c r="N81" s="45">
        <v>120</v>
      </c>
      <c r="O81" s="45" t="s">
        <v>306</v>
      </c>
      <c r="P81" s="45">
        <v>50</v>
      </c>
      <c r="Q81" s="64"/>
      <c r="R81" s="64"/>
      <c r="S81" s="64"/>
      <c r="T81" s="64"/>
      <c r="U81" s="45"/>
      <c r="V81" s="45"/>
      <c r="W81" s="45"/>
      <c r="X81" s="45"/>
      <c r="Y81" s="45"/>
      <c r="Z81" s="45"/>
      <c r="AA81" s="45"/>
      <c r="AB81" s="45"/>
    </row>
    <row r="82" spans="1:28" ht="12" customHeight="1" x14ac:dyDescent="0.55000000000000004">
      <c r="D82"/>
      <c r="E82" s="45"/>
      <c r="F82" s="45"/>
      <c r="G82" s="45"/>
      <c r="H82" s="45"/>
      <c r="I82" s="45"/>
      <c r="J82" s="45"/>
      <c r="K82" s="51" t="s">
        <v>166</v>
      </c>
      <c r="L82" s="66">
        <v>100</v>
      </c>
      <c r="M82" s="45" t="s">
        <v>166</v>
      </c>
      <c r="N82" s="45">
        <v>120</v>
      </c>
      <c r="O82" s="45" t="s">
        <v>166</v>
      </c>
      <c r="P82" s="45">
        <v>80</v>
      </c>
      <c r="Q82" s="64"/>
      <c r="R82" s="64"/>
      <c r="S82" s="64"/>
      <c r="T82" s="64"/>
      <c r="U82" s="45"/>
      <c r="V82" s="45"/>
      <c r="W82" s="45"/>
      <c r="X82" s="45"/>
      <c r="Y82" s="45"/>
      <c r="Z82" s="45"/>
      <c r="AA82" s="45"/>
      <c r="AB82" s="45"/>
    </row>
    <row r="83" spans="1:28" ht="12" customHeight="1" x14ac:dyDescent="0.55000000000000004">
      <c r="D83"/>
      <c r="E83" s="45"/>
      <c r="F83" s="45"/>
      <c r="G83" s="45"/>
      <c r="H83" s="45"/>
      <c r="I83" s="45"/>
      <c r="J83" s="45"/>
      <c r="K83" s="51" t="s">
        <v>167</v>
      </c>
      <c r="L83" s="66">
        <v>100</v>
      </c>
      <c r="M83" s="45" t="s">
        <v>167</v>
      </c>
      <c r="N83" s="45">
        <v>120</v>
      </c>
      <c r="O83" s="45" t="s">
        <v>167</v>
      </c>
      <c r="P83" s="45">
        <v>80</v>
      </c>
      <c r="Q83" s="64"/>
      <c r="R83" s="64"/>
      <c r="S83" s="64"/>
      <c r="T83" s="64"/>
      <c r="U83" s="45"/>
      <c r="V83" s="45"/>
      <c r="W83" s="45"/>
      <c r="X83" s="45"/>
      <c r="Y83" s="45"/>
      <c r="Z83" s="45"/>
      <c r="AA83" s="45"/>
      <c r="AB83" s="45"/>
    </row>
    <row r="84" spans="1:28" ht="12" customHeight="1" x14ac:dyDescent="0.55000000000000004">
      <c r="D84"/>
      <c r="E84" s="45"/>
      <c r="F84" s="45"/>
      <c r="G84" s="45"/>
      <c r="H84" s="45"/>
      <c r="I84" s="45"/>
      <c r="J84" s="45"/>
      <c r="K84" s="51" t="s">
        <v>202</v>
      </c>
      <c r="L84" s="66">
        <v>100</v>
      </c>
      <c r="M84" s="45" t="s">
        <v>202</v>
      </c>
      <c r="N84" s="45">
        <v>120</v>
      </c>
      <c r="O84" s="45" t="s">
        <v>202</v>
      </c>
      <c r="P84" s="45">
        <v>80</v>
      </c>
      <c r="Q84" s="64"/>
      <c r="R84" s="64"/>
      <c r="S84" s="64"/>
      <c r="T84" s="64"/>
      <c r="U84" s="45"/>
      <c r="V84" s="45"/>
      <c r="W84" s="45"/>
      <c r="X84" s="45"/>
      <c r="Y84" s="45"/>
      <c r="Z84" s="45"/>
      <c r="AA84" s="45"/>
      <c r="AB84" s="45"/>
    </row>
    <row r="85" spans="1:28" ht="12" customHeight="1" x14ac:dyDescent="0.55000000000000004">
      <c r="D8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 t="s">
        <v>401</v>
      </c>
      <c r="P85" s="45">
        <v>100</v>
      </c>
      <c r="Q85" s="45" t="s">
        <v>401</v>
      </c>
      <c r="R85" s="45">
        <v>120</v>
      </c>
      <c r="S85" s="45" t="s">
        <v>401</v>
      </c>
      <c r="T85" s="45">
        <v>80</v>
      </c>
      <c r="U85" s="45"/>
      <c r="V85" s="45"/>
      <c r="W85" s="45"/>
      <c r="X85" s="45"/>
      <c r="Y85" s="45"/>
      <c r="Z85" s="45"/>
      <c r="AA85" s="45"/>
      <c r="AB85" s="45"/>
    </row>
    <row r="86" spans="1:28" ht="12" customHeight="1" x14ac:dyDescent="0.55000000000000004">
      <c r="D86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 spans="1:28" ht="12" customHeight="1" x14ac:dyDescent="0.55000000000000004">
      <c r="D87"/>
      <c r="E87" s="73">
        <f>COUNTA(E75:E86)</f>
        <v>5</v>
      </c>
      <c r="F87" s="73">
        <f>SUM(F75:F86)</f>
        <v>500</v>
      </c>
      <c r="G87" s="73">
        <f>COUNTA(G75:G86)</f>
        <v>6</v>
      </c>
      <c r="H87" s="73">
        <f>SUM(H75:H86)</f>
        <v>600</v>
      </c>
      <c r="I87" s="73">
        <f>COUNTA(I75:I86)</f>
        <v>6</v>
      </c>
      <c r="J87" s="73">
        <f>SUM(J75:J86)</f>
        <v>500</v>
      </c>
      <c r="K87" s="73">
        <f>COUNTA(K75:K86)</f>
        <v>5</v>
      </c>
      <c r="L87" s="73">
        <f>SUM(L75:L86)</f>
        <v>480</v>
      </c>
      <c r="M87" s="73">
        <f>COUNTA(M75:M86)</f>
        <v>4</v>
      </c>
      <c r="N87" s="73">
        <f>SUM(N75:N86)</f>
        <v>480</v>
      </c>
      <c r="O87" s="73">
        <f>COUNTA(O75:O86)</f>
        <v>5</v>
      </c>
      <c r="P87" s="73">
        <f>SUM(P75:P86)</f>
        <v>390</v>
      </c>
      <c r="Q87" s="73">
        <f>COUNTA(Q75:Q86)</f>
        <v>1</v>
      </c>
      <c r="R87" s="73">
        <f>SUM(R75:R86)</f>
        <v>120</v>
      </c>
      <c r="S87" s="73">
        <f>COUNTA(S75:S86)</f>
        <v>1</v>
      </c>
      <c r="T87" s="73">
        <f>SUM(T75:T86)</f>
        <v>80</v>
      </c>
      <c r="U87" s="73">
        <f>COUNTA(U75:U86)</f>
        <v>1</v>
      </c>
      <c r="V87" s="73">
        <f>SUM(V75:V86)</f>
        <v>100</v>
      </c>
      <c r="W87" s="73">
        <f>COUNTA(W75:W86)</f>
        <v>1</v>
      </c>
      <c r="X87" s="73">
        <f>SUM(X75:X86)</f>
        <v>120</v>
      </c>
      <c r="Y87" s="73">
        <f>COUNTA(Y75:Y86)</f>
        <v>1</v>
      </c>
      <c r="Z87" s="73">
        <f>SUM(Z75:Z86)</f>
        <v>80</v>
      </c>
      <c r="AA87" s="73">
        <f>COUNTA(AA75:AA86)</f>
        <v>0</v>
      </c>
      <c r="AB87" s="73">
        <f>SUM(AB75:AB86)</f>
        <v>0</v>
      </c>
    </row>
    <row r="88" spans="1:28" ht="12" customHeight="1" x14ac:dyDescent="0.55000000000000004">
      <c r="D88"/>
      <c r="E88"/>
    </row>
    <row r="89" spans="1:28" ht="12" customHeight="1" x14ac:dyDescent="0.55000000000000004">
      <c r="A89" s="397" t="s">
        <v>86</v>
      </c>
      <c r="B89" s="398"/>
      <c r="C89" s="253" t="s">
        <v>4</v>
      </c>
      <c r="D89" s="400"/>
      <c r="E89" s="396" t="s">
        <v>5</v>
      </c>
      <c r="F89" s="396"/>
      <c r="G89" s="396" t="s">
        <v>6</v>
      </c>
      <c r="H89" s="396"/>
      <c r="I89" s="396" t="s">
        <v>7</v>
      </c>
      <c r="J89" s="396"/>
      <c r="K89" s="396" t="s">
        <v>8</v>
      </c>
      <c r="L89" s="396"/>
      <c r="M89" s="396" t="s">
        <v>10</v>
      </c>
      <c r="N89" s="396"/>
      <c r="O89" s="396" t="s">
        <v>11</v>
      </c>
      <c r="P89" s="396"/>
      <c r="Q89" s="396" t="s">
        <v>12</v>
      </c>
      <c r="R89" s="396"/>
      <c r="S89" s="396" t="s">
        <v>13</v>
      </c>
      <c r="T89" s="396"/>
      <c r="U89" s="396" t="s">
        <v>14</v>
      </c>
      <c r="V89" s="396"/>
      <c r="W89" s="396" t="s">
        <v>15</v>
      </c>
      <c r="X89" s="396"/>
      <c r="Y89" s="396" t="s">
        <v>16</v>
      </c>
      <c r="Z89" s="396"/>
      <c r="AA89" s="396" t="s">
        <v>4</v>
      </c>
      <c r="AB89" s="396"/>
    </row>
    <row r="90" spans="1:28" ht="12" customHeight="1" x14ac:dyDescent="0.55000000000000004">
      <c r="D90"/>
      <c r="E90" s="66" t="s">
        <v>307</v>
      </c>
      <c r="F90" s="66">
        <v>25</v>
      </c>
      <c r="G90" s="66" t="s">
        <v>307</v>
      </c>
      <c r="H90" s="66">
        <v>25</v>
      </c>
      <c r="I90" s="66" t="s">
        <v>307</v>
      </c>
      <c r="J90" s="66">
        <v>25</v>
      </c>
      <c r="K90" s="66" t="s">
        <v>307</v>
      </c>
      <c r="L90" s="66">
        <v>25</v>
      </c>
      <c r="M90" s="66" t="s">
        <v>307</v>
      </c>
      <c r="N90" s="66">
        <v>25</v>
      </c>
      <c r="O90" s="66" t="s">
        <v>307</v>
      </c>
      <c r="P90" s="66">
        <v>25</v>
      </c>
      <c r="Q90" s="66" t="s">
        <v>307</v>
      </c>
      <c r="R90" s="66">
        <v>25</v>
      </c>
      <c r="S90" s="66" t="s">
        <v>307</v>
      </c>
      <c r="T90" s="66">
        <v>25</v>
      </c>
      <c r="U90" s="66" t="s">
        <v>307</v>
      </c>
      <c r="V90" s="66">
        <v>25</v>
      </c>
      <c r="W90" s="66" t="s">
        <v>307</v>
      </c>
      <c r="X90" s="66">
        <v>25</v>
      </c>
      <c r="Y90" s="66" t="s">
        <v>307</v>
      </c>
      <c r="Z90" s="66">
        <v>25</v>
      </c>
      <c r="AA90" s="66" t="s">
        <v>307</v>
      </c>
      <c r="AB90" s="66">
        <v>25</v>
      </c>
    </row>
    <row r="91" spans="1:28" ht="12" customHeight="1" x14ac:dyDescent="0.55000000000000004">
      <c r="D91"/>
      <c r="E91" s="45" t="s">
        <v>308</v>
      </c>
      <c r="F91" s="45">
        <v>25</v>
      </c>
      <c r="G91" s="45" t="s">
        <v>308</v>
      </c>
      <c r="H91" s="45">
        <v>25</v>
      </c>
      <c r="I91" s="45" t="s">
        <v>308</v>
      </c>
      <c r="J91" s="45">
        <v>25</v>
      </c>
      <c r="K91" s="45" t="s">
        <v>308</v>
      </c>
      <c r="L91" s="45">
        <v>25</v>
      </c>
      <c r="M91" s="45" t="s">
        <v>308</v>
      </c>
      <c r="N91" s="45">
        <v>25</v>
      </c>
      <c r="O91" s="45" t="s">
        <v>308</v>
      </c>
      <c r="P91" s="45">
        <v>25</v>
      </c>
      <c r="Q91" s="45" t="s">
        <v>308</v>
      </c>
      <c r="R91" s="45">
        <v>25</v>
      </c>
      <c r="S91" s="45" t="s">
        <v>308</v>
      </c>
      <c r="T91" s="45">
        <v>25</v>
      </c>
      <c r="U91" s="45" t="s">
        <v>308</v>
      </c>
      <c r="V91" s="45">
        <v>25</v>
      </c>
      <c r="W91" s="45" t="s">
        <v>308</v>
      </c>
      <c r="X91" s="45">
        <v>25</v>
      </c>
      <c r="Y91" s="45" t="s">
        <v>308</v>
      </c>
      <c r="Z91" s="45">
        <v>25</v>
      </c>
      <c r="AA91" s="45" t="s">
        <v>308</v>
      </c>
      <c r="AB91" s="45">
        <v>25</v>
      </c>
    </row>
    <row r="92" spans="1:28" ht="12" customHeight="1" x14ac:dyDescent="0.55000000000000004">
      <c r="D92"/>
      <c r="E92" s="45" t="s">
        <v>309</v>
      </c>
      <c r="F92" s="45">
        <v>25</v>
      </c>
      <c r="G92" s="45" t="s">
        <v>309</v>
      </c>
      <c r="H92" s="45">
        <v>25</v>
      </c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</row>
    <row r="93" spans="1:28" ht="12" customHeight="1" x14ac:dyDescent="0.55000000000000004">
      <c r="D93"/>
      <c r="E93" s="45" t="s">
        <v>310</v>
      </c>
      <c r="F93" s="45">
        <v>25</v>
      </c>
      <c r="G93" s="45" t="s">
        <v>310</v>
      </c>
      <c r="H93" s="45">
        <v>25</v>
      </c>
      <c r="I93" s="45" t="s">
        <v>310</v>
      </c>
      <c r="J93" s="45">
        <v>25</v>
      </c>
      <c r="K93" s="45" t="s">
        <v>310</v>
      </c>
      <c r="L93" s="45">
        <v>25</v>
      </c>
      <c r="M93" s="45" t="s">
        <v>310</v>
      </c>
      <c r="N93" s="45">
        <v>25</v>
      </c>
      <c r="O93" s="45" t="s">
        <v>310</v>
      </c>
      <c r="P93" s="45">
        <v>25</v>
      </c>
      <c r="Q93" s="45" t="s">
        <v>310</v>
      </c>
      <c r="R93" s="45">
        <v>25</v>
      </c>
      <c r="S93" s="45" t="s">
        <v>310</v>
      </c>
      <c r="T93" s="45">
        <v>25</v>
      </c>
      <c r="U93" s="45" t="s">
        <v>310</v>
      </c>
      <c r="V93" s="45">
        <v>25</v>
      </c>
      <c r="W93" s="45" t="s">
        <v>310</v>
      </c>
      <c r="X93" s="45">
        <v>25</v>
      </c>
      <c r="Y93" s="45" t="s">
        <v>310</v>
      </c>
      <c r="Z93" s="45">
        <v>25</v>
      </c>
      <c r="AA93" s="45" t="s">
        <v>310</v>
      </c>
      <c r="AB93" s="45">
        <v>25</v>
      </c>
    </row>
    <row r="94" spans="1:28" ht="12" customHeight="1" x14ac:dyDescent="0.55000000000000004">
      <c r="D94"/>
      <c r="E94" s="45" t="s">
        <v>311</v>
      </c>
      <c r="F94" s="45">
        <v>25</v>
      </c>
      <c r="G94" s="45" t="s">
        <v>311</v>
      </c>
      <c r="H94" s="45">
        <v>25</v>
      </c>
      <c r="I94" s="45" t="s">
        <v>311</v>
      </c>
      <c r="J94" s="45">
        <v>25</v>
      </c>
      <c r="K94" s="45" t="s">
        <v>311</v>
      </c>
      <c r="L94" s="45">
        <v>25</v>
      </c>
      <c r="M94" s="45" t="s">
        <v>311</v>
      </c>
      <c r="N94" s="45">
        <v>25</v>
      </c>
      <c r="O94" s="45" t="s">
        <v>311</v>
      </c>
      <c r="P94" s="45">
        <v>25</v>
      </c>
      <c r="Q94" s="45" t="s">
        <v>311</v>
      </c>
      <c r="R94" s="45">
        <v>25</v>
      </c>
      <c r="S94" s="45" t="s">
        <v>311</v>
      </c>
      <c r="T94" s="45">
        <v>25</v>
      </c>
      <c r="U94" s="45" t="s">
        <v>311</v>
      </c>
      <c r="V94" s="45">
        <v>25</v>
      </c>
      <c r="W94" s="45" t="s">
        <v>311</v>
      </c>
      <c r="X94" s="45">
        <v>25</v>
      </c>
      <c r="Y94" s="45" t="s">
        <v>311</v>
      </c>
      <c r="Z94" s="45">
        <v>25</v>
      </c>
      <c r="AA94" s="45" t="s">
        <v>311</v>
      </c>
      <c r="AB94" s="45">
        <v>25</v>
      </c>
    </row>
    <row r="95" spans="1:28" ht="12" customHeight="1" x14ac:dyDescent="0.55000000000000004">
      <c r="D9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</row>
    <row r="96" spans="1:28" ht="12" customHeight="1" x14ac:dyDescent="0.55000000000000004">
      <c r="D96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</row>
    <row r="97" spans="4:28" ht="12" customHeight="1" x14ac:dyDescent="0.55000000000000004">
      <c r="D97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</row>
    <row r="98" spans="4:28" ht="12" customHeight="1" x14ac:dyDescent="0.55000000000000004">
      <c r="D98"/>
      <c r="E98" s="73">
        <f>COUNTA(E90:E97)</f>
        <v>5</v>
      </c>
      <c r="F98" s="73">
        <f>SUM(F90:F97)</f>
        <v>125</v>
      </c>
      <c r="G98" s="73">
        <f>COUNTA(G90:G97)</f>
        <v>5</v>
      </c>
      <c r="H98" s="73">
        <f>SUM(H90:H97)</f>
        <v>125</v>
      </c>
      <c r="I98" s="73">
        <f>COUNTA(I90:I97)</f>
        <v>4</v>
      </c>
      <c r="J98" s="73">
        <f>SUM(J90:J97)</f>
        <v>100</v>
      </c>
      <c r="K98" s="73">
        <f>COUNTA(K90:K97)</f>
        <v>4</v>
      </c>
      <c r="L98" s="73">
        <f>SUM(L90:L97)</f>
        <v>100</v>
      </c>
      <c r="M98" s="73">
        <f>COUNTA(M90:M97)</f>
        <v>4</v>
      </c>
      <c r="N98" s="73">
        <f>SUM(N90:N97)</f>
        <v>100</v>
      </c>
      <c r="O98" s="73">
        <f>COUNTA(O90:O97)</f>
        <v>4</v>
      </c>
      <c r="P98" s="73">
        <f>SUM(P90:P97)</f>
        <v>100</v>
      </c>
      <c r="Q98" s="73">
        <f>COUNTA(Q90:Q97)</f>
        <v>4</v>
      </c>
      <c r="R98" s="73">
        <f>SUM(R90:R97)</f>
        <v>100</v>
      </c>
      <c r="S98" s="73">
        <f>COUNTA(S90:S97)</f>
        <v>4</v>
      </c>
      <c r="T98" s="73">
        <f>SUM(T90:T97)</f>
        <v>100</v>
      </c>
      <c r="U98" s="73">
        <f>COUNTA(U90:U97)</f>
        <v>4</v>
      </c>
      <c r="V98" s="73">
        <f>SUM(V90:V97)</f>
        <v>100</v>
      </c>
      <c r="W98" s="73">
        <f>COUNTA(W90:W97)</f>
        <v>4</v>
      </c>
      <c r="X98" s="73">
        <f>SUM(X90:X97)</f>
        <v>100</v>
      </c>
      <c r="Y98" s="73">
        <f>COUNTA(Y90:Y97)</f>
        <v>4</v>
      </c>
      <c r="Z98" s="73">
        <f>SUM(Z90:Z97)</f>
        <v>100</v>
      </c>
      <c r="AA98" s="73">
        <f>COUNTA(AA90:AA97)</f>
        <v>4</v>
      </c>
      <c r="AB98" s="73">
        <f>SUM(AB90:AB97)</f>
        <v>100</v>
      </c>
    </row>
    <row r="99" spans="4:28" ht="12" customHeight="1" x14ac:dyDescent="0.55000000000000004">
      <c r="D99"/>
      <c r="E99"/>
    </row>
    <row r="100" spans="4:28" ht="12" customHeight="1" x14ac:dyDescent="0.55000000000000004">
      <c r="D100"/>
      <c r="E100"/>
    </row>
    <row r="101" spans="4:28" ht="12" customHeight="1" x14ac:dyDescent="0.55000000000000004">
      <c r="D101"/>
      <c r="E101"/>
    </row>
    <row r="102" spans="4:28" ht="12" customHeight="1" x14ac:dyDescent="0.55000000000000004">
      <c r="D102"/>
      <c r="E102"/>
    </row>
    <row r="103" spans="4:28" ht="12" customHeight="1" x14ac:dyDescent="0.55000000000000004">
      <c r="D103"/>
      <c r="E103"/>
    </row>
    <row r="104" spans="4:28" ht="12" customHeight="1" x14ac:dyDescent="0.55000000000000004">
      <c r="D104"/>
      <c r="E104"/>
    </row>
    <row r="105" spans="4:28" ht="12" customHeight="1" x14ac:dyDescent="0.55000000000000004">
      <c r="D105"/>
      <c r="E105"/>
    </row>
    <row r="106" spans="4:28" ht="12" customHeight="1" x14ac:dyDescent="0.55000000000000004">
      <c r="D106"/>
      <c r="E106"/>
    </row>
    <row r="107" spans="4:28" ht="12" customHeight="1" x14ac:dyDescent="0.55000000000000004">
      <c r="D107"/>
      <c r="E107"/>
    </row>
    <row r="108" spans="4:28" ht="12" customHeight="1" x14ac:dyDescent="0.55000000000000004">
      <c r="D108"/>
      <c r="E108"/>
    </row>
    <row r="109" spans="4:28" ht="12" customHeight="1" x14ac:dyDescent="0.55000000000000004">
      <c r="D109"/>
      <c r="E109"/>
    </row>
    <row r="110" spans="4:28" ht="12" customHeight="1" x14ac:dyDescent="0.55000000000000004">
      <c r="D110"/>
      <c r="E110"/>
    </row>
    <row r="111" spans="4:28" ht="12" customHeight="1" x14ac:dyDescent="0.55000000000000004">
      <c r="D111"/>
      <c r="E111"/>
    </row>
    <row r="112" spans="4:28" ht="12" customHeight="1" x14ac:dyDescent="0.55000000000000004">
      <c r="D112"/>
      <c r="E112"/>
    </row>
  </sheetData>
  <mergeCells count="235">
    <mergeCell ref="E2:J2"/>
    <mergeCell ref="K2:P2"/>
    <mergeCell ref="Q2:V2"/>
    <mergeCell ref="W2:AB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Y6:Z6"/>
    <mergeCell ref="AA6:AB6"/>
    <mergeCell ref="M10:N10"/>
    <mergeCell ref="O10:P10"/>
    <mergeCell ref="Q10:R10"/>
    <mergeCell ref="S4:T4"/>
    <mergeCell ref="U4:V4"/>
    <mergeCell ref="W4:X4"/>
    <mergeCell ref="U74:V74"/>
    <mergeCell ref="W74:X74"/>
    <mergeCell ref="Y74:Z74"/>
    <mergeCell ref="AA74:AB74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Z89"/>
    <mergeCell ref="AA89:AB89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E3:F3"/>
    <mergeCell ref="G3:H3"/>
    <mergeCell ref="I3:J3"/>
    <mergeCell ref="K3:L3"/>
    <mergeCell ref="A27:XFD27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18:B18"/>
    <mergeCell ref="S74:T74"/>
    <mergeCell ref="A28:B28"/>
    <mergeCell ref="A12:B12"/>
    <mergeCell ref="Y3:Z3"/>
    <mergeCell ref="AA3:AB3"/>
    <mergeCell ref="M3:N3"/>
    <mergeCell ref="O3:P3"/>
    <mergeCell ref="Q3:R3"/>
    <mergeCell ref="S3:T3"/>
    <mergeCell ref="U3:V3"/>
    <mergeCell ref="W3:X3"/>
    <mergeCell ref="A8:B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C3:D3"/>
    <mergeCell ref="Y7:Z7"/>
    <mergeCell ref="AA7:AB7"/>
    <mergeCell ref="M7:N7"/>
    <mergeCell ref="O7:P7"/>
    <mergeCell ref="Q7:R7"/>
    <mergeCell ref="S7:T7"/>
    <mergeCell ref="U7:V7"/>
    <mergeCell ref="W7:X7"/>
    <mergeCell ref="Y4:Z4"/>
    <mergeCell ref="AA4:AB4"/>
    <mergeCell ref="M11:N11"/>
    <mergeCell ref="G10:H10"/>
    <mergeCell ref="I10:J10"/>
    <mergeCell ref="K10:L10"/>
    <mergeCell ref="AA11:AB11"/>
    <mergeCell ref="O11:P11"/>
    <mergeCell ref="Q11:R11"/>
    <mergeCell ref="S11:T11"/>
    <mergeCell ref="U11:V11"/>
    <mergeCell ref="W11:X11"/>
    <mergeCell ref="Y11:Z11"/>
    <mergeCell ref="S10:T10"/>
    <mergeCell ref="U10:V10"/>
    <mergeCell ref="W10:X10"/>
    <mergeCell ref="S18:T18"/>
    <mergeCell ref="U18:V18"/>
    <mergeCell ref="W18:X18"/>
    <mergeCell ref="Y18:Z18"/>
    <mergeCell ref="AA18:AB18"/>
    <mergeCell ref="C59:D59"/>
    <mergeCell ref="E59:F59"/>
    <mergeCell ref="G59:H59"/>
    <mergeCell ref="I59:J59"/>
    <mergeCell ref="K59:L59"/>
    <mergeCell ref="C18:D18"/>
    <mergeCell ref="E18:F18"/>
    <mergeCell ref="G18:H18"/>
    <mergeCell ref="I18:J18"/>
    <mergeCell ref="K18:L18"/>
    <mergeCell ref="M18:N18"/>
    <mergeCell ref="O18:P18"/>
    <mergeCell ref="Q18:R18"/>
    <mergeCell ref="Y59:Z59"/>
    <mergeCell ref="AA59:AB59"/>
    <mergeCell ref="M59:N59"/>
    <mergeCell ref="O59:P59"/>
    <mergeCell ref="Q59:R59"/>
    <mergeCell ref="S59:T59"/>
    <mergeCell ref="U59:V59"/>
    <mergeCell ref="W59:X59"/>
    <mergeCell ref="A59:B59"/>
    <mergeCell ref="C6:D6"/>
    <mergeCell ref="E6:F6"/>
    <mergeCell ref="G6:H6"/>
    <mergeCell ref="I6:J6"/>
    <mergeCell ref="K6:L6"/>
    <mergeCell ref="M6:N6"/>
    <mergeCell ref="O6:P6"/>
    <mergeCell ref="Q6:R6"/>
    <mergeCell ref="A6:B6"/>
    <mergeCell ref="A10:B10"/>
    <mergeCell ref="A11:B11"/>
    <mergeCell ref="E10:F10"/>
    <mergeCell ref="S6:T6"/>
    <mergeCell ref="U6:V6"/>
    <mergeCell ref="W6:X6"/>
    <mergeCell ref="E7:F7"/>
    <mergeCell ref="G7:H7"/>
    <mergeCell ref="I7:J7"/>
    <mergeCell ref="K7:L7"/>
    <mergeCell ref="E11:F11"/>
    <mergeCell ref="G11:H11"/>
    <mergeCell ref="A4:B4"/>
    <mergeCell ref="C4:D4"/>
    <mergeCell ref="E4:F4"/>
    <mergeCell ref="G4:H4"/>
    <mergeCell ref="I4:J4"/>
    <mergeCell ref="K4:L4"/>
    <mergeCell ref="M4:N4"/>
    <mergeCell ref="O4:P4"/>
    <mergeCell ref="Q4:R4"/>
    <mergeCell ref="U13:V13"/>
    <mergeCell ref="W13:X13"/>
    <mergeCell ref="Y13:Z13"/>
    <mergeCell ref="AA13:AB13"/>
    <mergeCell ref="A5:B5"/>
    <mergeCell ref="C5:D5"/>
    <mergeCell ref="E5:F5"/>
    <mergeCell ref="Y5:Z5"/>
    <mergeCell ref="AA5:AB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7:B7"/>
    <mergeCell ref="C7:D7"/>
    <mergeCell ref="Y10:Z10"/>
    <mergeCell ref="AA10:AB10"/>
    <mergeCell ref="I11:J11"/>
    <mergeCell ref="K11:L11"/>
    <mergeCell ref="A13:B13"/>
    <mergeCell ref="E13:F13"/>
    <mergeCell ref="G13:H13"/>
    <mergeCell ref="I13:J13"/>
    <mergeCell ref="K13:L13"/>
    <mergeCell ref="M13:N13"/>
    <mergeCell ref="O13:P13"/>
    <mergeCell ref="Q13:R13"/>
    <mergeCell ref="S13:T13"/>
    <mergeCell ref="A15:B15"/>
    <mergeCell ref="A16:B16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</mergeCells>
  <phoneticPr fontId="2"/>
  <pageMargins left="0.25" right="0.25" top="0.75" bottom="0.75" header="0.3" footer="0.3"/>
  <pageSetup paperSize="8" scale="85" orientation="portrait" r:id="rId1"/>
  <ignoredErrors>
    <ignoredError sqref="G26 I26:AB26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D974-13D4-4830-90C2-229E1614E285}">
  <dimension ref="A1"/>
  <sheetViews>
    <sheetView workbookViewId="0">
      <selection activeCell="S9" sqref="S9"/>
    </sheetView>
  </sheetViews>
  <sheetFormatPr defaultRowHeight="18" x14ac:dyDescent="0.55000000000000004"/>
  <sheetData/>
  <phoneticPr fontId="2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0ED0-DD69-4EB9-A1F8-7CFEEC7D82B8}">
  <dimension ref="A1"/>
  <sheetViews>
    <sheetView workbookViewId="0">
      <selection sqref="A1:AB15"/>
    </sheetView>
  </sheetViews>
  <sheetFormatPr defaultRowHeight="18" x14ac:dyDescent="0.55000000000000004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Sheet1</vt:lpstr>
      <vt:lpstr>Sheet3</vt:lpstr>
      <vt:lpstr>Sheet2</vt:lpstr>
      <vt:lpstr>受注</vt:lpstr>
      <vt:lpstr>受注推移</vt:lpstr>
      <vt:lpstr>相続以外</vt:lpstr>
      <vt:lpstr>LP</vt:lpstr>
      <vt:lpstr>受注推移2</vt:lpstr>
      <vt:lpstr>顧客管理</vt:lpstr>
      <vt:lpstr>事務管理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TAEKO HOSHI</dc:creator>
  <cp:lastModifiedBy>TAEKO HOSHI</cp:lastModifiedBy>
  <cp:lastPrinted>2026-05-19T09:34:45Z</cp:lastPrinted>
  <dcterms:created xsi:type="dcterms:W3CDTF">2026-01-08T08:29:09Z</dcterms:created>
  <dcterms:modified xsi:type="dcterms:W3CDTF">2026-05-19T10:42:44Z</dcterms:modified>
</cp:coreProperties>
</file>