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gur\Desktop\"/>
    </mc:Choice>
  </mc:AlternateContent>
  <xr:revisionPtr revIDLastSave="0" documentId="8_{A99A9BA6-482A-410C-81EA-F7CB35493B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第一営業部（みずほ入金）" sheetId="1" r:id="rId1"/>
    <sheet name="第二営業部（きらぼし入金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0" i="1" l="1"/>
  <c r="J110" i="1"/>
  <c r="K110" i="1"/>
  <c r="N110" i="1"/>
  <c r="O110" i="1"/>
  <c r="Q110" i="1" s="1"/>
  <c r="N35" i="2"/>
  <c r="K35" i="2"/>
  <c r="O35" i="2" s="1"/>
  <c r="Q35" i="2" s="1"/>
  <c r="J35" i="2"/>
  <c r="G35" i="2"/>
  <c r="N34" i="2"/>
  <c r="K34" i="2"/>
  <c r="O34" i="2" s="1"/>
  <c r="J34" i="2"/>
  <c r="G34" i="2"/>
  <c r="N33" i="2"/>
  <c r="K33" i="2"/>
  <c r="O33" i="2" s="1"/>
  <c r="Q33" i="2" s="1"/>
  <c r="J33" i="2"/>
  <c r="G33" i="2"/>
  <c r="Q34" i="2" l="1"/>
  <c r="F36" i="2" l="1"/>
  <c r="F111" i="1"/>
  <c r="N105" i="1"/>
  <c r="K105" i="1"/>
  <c r="O105" i="1" s="1"/>
  <c r="K106" i="1"/>
  <c r="O106" i="1" s="1"/>
  <c r="Q106" i="1" s="1"/>
  <c r="K107" i="1"/>
  <c r="O107" i="1" s="1"/>
  <c r="Q107" i="1" s="1"/>
  <c r="K108" i="1"/>
  <c r="O108" i="1" s="1"/>
  <c r="Q108" i="1" s="1"/>
  <c r="K109" i="1"/>
  <c r="O109" i="1" s="1"/>
  <c r="Q109" i="1" s="1"/>
  <c r="J105" i="1"/>
  <c r="J106" i="1"/>
  <c r="J107" i="1"/>
  <c r="J108" i="1"/>
  <c r="J109" i="1"/>
  <c r="G106" i="1"/>
  <c r="G107" i="1"/>
  <c r="G108" i="1"/>
  <c r="G109" i="1"/>
  <c r="F114" i="1" l="1"/>
  <c r="Q105" i="1"/>
  <c r="G105" i="1"/>
  <c r="J27" i="2" l="1"/>
  <c r="G27" i="2"/>
  <c r="G104" i="1"/>
  <c r="J104" i="1"/>
  <c r="K104" i="1"/>
  <c r="K96" i="1" l="1"/>
  <c r="G96" i="1"/>
  <c r="J96" i="1"/>
  <c r="N96" i="1"/>
  <c r="O96" i="1"/>
  <c r="Q96" i="1" s="1"/>
  <c r="N97" i="1"/>
  <c r="N98" i="1"/>
  <c r="N99" i="1"/>
  <c r="N100" i="1"/>
  <c r="N101" i="1"/>
  <c r="N102" i="1"/>
  <c r="N103" i="1"/>
  <c r="N104" i="1"/>
  <c r="K97" i="1"/>
  <c r="O97" i="1" s="1"/>
  <c r="K98" i="1"/>
  <c r="O98" i="1" s="1"/>
  <c r="K99" i="1"/>
  <c r="O99" i="1" s="1"/>
  <c r="K100" i="1"/>
  <c r="O100" i="1" s="1"/>
  <c r="K101" i="1"/>
  <c r="O101" i="1" s="1"/>
  <c r="K102" i="1"/>
  <c r="O102" i="1" s="1"/>
  <c r="K103" i="1"/>
  <c r="O104" i="1"/>
  <c r="J97" i="1"/>
  <c r="J98" i="1"/>
  <c r="J99" i="1"/>
  <c r="J100" i="1"/>
  <c r="J101" i="1"/>
  <c r="J102" i="1"/>
  <c r="J103" i="1"/>
  <c r="G97" i="1"/>
  <c r="G98" i="1"/>
  <c r="G99" i="1"/>
  <c r="G100" i="1"/>
  <c r="G101" i="1"/>
  <c r="G102" i="1"/>
  <c r="G103" i="1"/>
  <c r="Q98" i="1" l="1"/>
  <c r="Q104" i="1"/>
  <c r="Q100" i="1"/>
  <c r="O103" i="1"/>
  <c r="Q103" i="1" s="1"/>
  <c r="Q102" i="1"/>
  <c r="Q101" i="1"/>
  <c r="Q99" i="1"/>
  <c r="Q97" i="1"/>
  <c r="J24" i="2"/>
  <c r="N80" i="1"/>
  <c r="K80" i="1"/>
  <c r="O80" i="1" s="1"/>
  <c r="J80" i="1"/>
  <c r="G80" i="1"/>
  <c r="N79" i="1"/>
  <c r="K79" i="1"/>
  <c r="O79" i="1" s="1"/>
  <c r="J79" i="1"/>
  <c r="G79" i="1"/>
  <c r="N78" i="1"/>
  <c r="K78" i="1"/>
  <c r="O78" i="1" s="1"/>
  <c r="J78" i="1"/>
  <c r="G78" i="1"/>
  <c r="N77" i="1"/>
  <c r="K77" i="1"/>
  <c r="O77" i="1" s="1"/>
  <c r="J77" i="1"/>
  <c r="G77" i="1"/>
  <c r="N76" i="1"/>
  <c r="K76" i="1"/>
  <c r="O76" i="1" s="1"/>
  <c r="J76" i="1"/>
  <c r="G76" i="1"/>
  <c r="N75" i="1"/>
  <c r="K75" i="1"/>
  <c r="O75" i="1" s="1"/>
  <c r="J75" i="1"/>
  <c r="G75" i="1"/>
  <c r="N74" i="1"/>
  <c r="K74" i="1"/>
  <c r="O74" i="1" s="1"/>
  <c r="J74" i="1"/>
  <c r="G74" i="1"/>
  <c r="N73" i="1"/>
  <c r="K73" i="1"/>
  <c r="O73" i="1" s="1"/>
  <c r="J73" i="1"/>
  <c r="G73" i="1"/>
  <c r="N72" i="1"/>
  <c r="K72" i="1"/>
  <c r="O72" i="1" s="1"/>
  <c r="J72" i="1"/>
  <c r="G72" i="1"/>
  <c r="N71" i="1"/>
  <c r="K71" i="1"/>
  <c r="O71" i="1" s="1"/>
  <c r="J71" i="1"/>
  <c r="G71" i="1"/>
  <c r="N70" i="1"/>
  <c r="K70" i="1"/>
  <c r="O70" i="1" s="1"/>
  <c r="J70" i="1"/>
  <c r="G70" i="1"/>
  <c r="N69" i="1"/>
  <c r="K69" i="1"/>
  <c r="O69" i="1" s="1"/>
  <c r="J69" i="1"/>
  <c r="G69" i="1"/>
  <c r="N68" i="1"/>
  <c r="K68" i="1"/>
  <c r="O68" i="1" s="1"/>
  <c r="J68" i="1"/>
  <c r="G68" i="1"/>
  <c r="N67" i="1"/>
  <c r="K67" i="1"/>
  <c r="O67" i="1" s="1"/>
  <c r="J67" i="1"/>
  <c r="G67" i="1"/>
  <c r="N66" i="1"/>
  <c r="K66" i="1"/>
  <c r="O66" i="1" s="1"/>
  <c r="J66" i="1"/>
  <c r="G66" i="1"/>
  <c r="N65" i="1"/>
  <c r="K65" i="1"/>
  <c r="O65" i="1" s="1"/>
  <c r="J65" i="1"/>
  <c r="G65" i="1"/>
  <c r="N64" i="1"/>
  <c r="K64" i="1"/>
  <c r="O64" i="1" s="1"/>
  <c r="J64" i="1"/>
  <c r="G64" i="1"/>
  <c r="N63" i="1"/>
  <c r="K63" i="1"/>
  <c r="O63" i="1" s="1"/>
  <c r="J63" i="1"/>
  <c r="G63" i="1"/>
  <c r="N62" i="1"/>
  <c r="K62" i="1"/>
  <c r="O62" i="1" s="1"/>
  <c r="J62" i="1"/>
  <c r="G62" i="1"/>
  <c r="N61" i="1"/>
  <c r="K61" i="1"/>
  <c r="O61" i="1" s="1"/>
  <c r="J61" i="1"/>
  <c r="G61" i="1"/>
  <c r="N60" i="1"/>
  <c r="K60" i="1"/>
  <c r="O60" i="1" s="1"/>
  <c r="J60" i="1"/>
  <c r="G60" i="1"/>
  <c r="N59" i="1"/>
  <c r="K59" i="1"/>
  <c r="O59" i="1" s="1"/>
  <c r="J59" i="1"/>
  <c r="G59" i="1"/>
  <c r="N58" i="1"/>
  <c r="K58" i="1"/>
  <c r="O58" i="1" s="1"/>
  <c r="J58" i="1"/>
  <c r="G58" i="1"/>
  <c r="N57" i="1"/>
  <c r="K57" i="1"/>
  <c r="O57" i="1" s="1"/>
  <c r="J57" i="1"/>
  <c r="G57" i="1"/>
  <c r="N56" i="1"/>
  <c r="K56" i="1"/>
  <c r="O56" i="1" s="1"/>
  <c r="J56" i="1"/>
  <c r="G56" i="1"/>
  <c r="N55" i="1"/>
  <c r="K55" i="1"/>
  <c r="O55" i="1" s="1"/>
  <c r="J55" i="1"/>
  <c r="G55" i="1"/>
  <c r="N54" i="1"/>
  <c r="K54" i="1"/>
  <c r="O54" i="1" s="1"/>
  <c r="J54" i="1"/>
  <c r="G54" i="1"/>
  <c r="N53" i="1"/>
  <c r="K53" i="1"/>
  <c r="O53" i="1" s="1"/>
  <c r="J53" i="1"/>
  <c r="G53" i="1"/>
  <c r="N52" i="1"/>
  <c r="K52" i="1"/>
  <c r="O52" i="1" s="1"/>
  <c r="J52" i="1"/>
  <c r="G52" i="1"/>
  <c r="N51" i="1"/>
  <c r="K51" i="1"/>
  <c r="O51" i="1" s="1"/>
  <c r="J51" i="1"/>
  <c r="G51" i="1"/>
  <c r="N50" i="1"/>
  <c r="K50" i="1"/>
  <c r="O50" i="1" s="1"/>
  <c r="J50" i="1"/>
  <c r="G50" i="1"/>
  <c r="N49" i="1"/>
  <c r="K49" i="1"/>
  <c r="O49" i="1" s="1"/>
  <c r="J49" i="1"/>
  <c r="G49" i="1"/>
  <c r="N48" i="1"/>
  <c r="K48" i="1"/>
  <c r="O48" i="1" s="1"/>
  <c r="J48" i="1"/>
  <c r="G48" i="1"/>
  <c r="N47" i="1"/>
  <c r="K47" i="1"/>
  <c r="O47" i="1" s="1"/>
  <c r="J47" i="1"/>
  <c r="G47" i="1"/>
  <c r="N46" i="1"/>
  <c r="K46" i="1"/>
  <c r="O46" i="1" s="1"/>
  <c r="J46" i="1"/>
  <c r="G46" i="1"/>
  <c r="N45" i="1"/>
  <c r="K45" i="1"/>
  <c r="O45" i="1" s="1"/>
  <c r="J45" i="1"/>
  <c r="G45" i="1"/>
  <c r="N44" i="1"/>
  <c r="K44" i="1"/>
  <c r="O44" i="1" s="1"/>
  <c r="J44" i="1"/>
  <c r="G44" i="1"/>
  <c r="N43" i="1"/>
  <c r="K43" i="1"/>
  <c r="O43" i="1" s="1"/>
  <c r="J43" i="1"/>
  <c r="G43" i="1"/>
  <c r="N37" i="1"/>
  <c r="K37" i="1"/>
  <c r="O37" i="1" s="1"/>
  <c r="J37" i="1"/>
  <c r="G37" i="1"/>
  <c r="N36" i="1"/>
  <c r="K36" i="1"/>
  <c r="O36" i="1" s="1"/>
  <c r="J36" i="1"/>
  <c r="G36" i="1"/>
  <c r="N35" i="1"/>
  <c r="K35" i="1"/>
  <c r="O35" i="1" s="1"/>
  <c r="J35" i="1"/>
  <c r="G35" i="1"/>
  <c r="Q35" i="1" l="1"/>
  <c r="Q43" i="1"/>
  <c r="Q46" i="1"/>
  <c r="Q49" i="1"/>
  <c r="Q52" i="1"/>
  <c r="Q55" i="1"/>
  <c r="Q58" i="1"/>
  <c r="Q61" i="1"/>
  <c r="Q64" i="1"/>
  <c r="Q67" i="1"/>
  <c r="Q70" i="1"/>
  <c r="Q73" i="1"/>
  <c r="Q76" i="1"/>
  <c r="Q79" i="1"/>
  <c r="Q37" i="1"/>
  <c r="Q45" i="1"/>
  <c r="Q48" i="1"/>
  <c r="Q51" i="1"/>
  <c r="Q54" i="1"/>
  <c r="Q57" i="1"/>
  <c r="Q60" i="1"/>
  <c r="Q63" i="1"/>
  <c r="Q66" i="1"/>
  <c r="Q69" i="1"/>
  <c r="Q72" i="1"/>
  <c r="Q75" i="1"/>
  <c r="Q78" i="1"/>
  <c r="Q36" i="1"/>
  <c r="Q44" i="1"/>
  <c r="Q47" i="1"/>
  <c r="Q50" i="1"/>
  <c r="Q53" i="1"/>
  <c r="Q56" i="1"/>
  <c r="Q59" i="1"/>
  <c r="Q62" i="1"/>
  <c r="Q65" i="1"/>
  <c r="Q68" i="1"/>
  <c r="Q71" i="1"/>
  <c r="Q74" i="1"/>
  <c r="Q77" i="1"/>
  <c r="Q80" i="1"/>
  <c r="N13" i="1"/>
  <c r="K13" i="1"/>
  <c r="O13" i="1" s="1"/>
  <c r="J13" i="1"/>
  <c r="G13" i="1"/>
  <c r="N12" i="1"/>
  <c r="K12" i="1"/>
  <c r="O12" i="1" s="1"/>
  <c r="J12" i="1"/>
  <c r="G12" i="1"/>
  <c r="N11" i="1"/>
  <c r="K11" i="1"/>
  <c r="O11" i="1" s="1"/>
  <c r="J11" i="1"/>
  <c r="G11" i="1"/>
  <c r="M36" i="2"/>
  <c r="L36" i="2"/>
  <c r="N32" i="2"/>
  <c r="N31" i="2"/>
  <c r="N30" i="2"/>
  <c r="N29" i="2"/>
  <c r="N28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6" i="1"/>
  <c r="N7" i="1"/>
  <c r="N8" i="1"/>
  <c r="N9" i="1"/>
  <c r="N10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8" i="1"/>
  <c r="N39" i="1"/>
  <c r="N40" i="1"/>
  <c r="N41" i="1"/>
  <c r="N42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5" i="1"/>
  <c r="Q11" i="1" l="1"/>
  <c r="Q13" i="1"/>
  <c r="Q12" i="1"/>
  <c r="N36" i="2"/>
  <c r="N111" i="1"/>
  <c r="L111" i="1"/>
  <c r="M111" i="1"/>
  <c r="K5" i="1"/>
  <c r="O5" i="1" s="1"/>
  <c r="Q5" i="1" s="1"/>
  <c r="J5" i="1"/>
  <c r="G5" i="1"/>
  <c r="G6" i="1"/>
  <c r="J6" i="1"/>
  <c r="K6" i="1"/>
  <c r="O6" i="1" s="1"/>
  <c r="Q6" i="1" s="1"/>
  <c r="G7" i="1"/>
  <c r="J7" i="1"/>
  <c r="K7" i="1"/>
  <c r="O7" i="1" s="1"/>
  <c r="Q7" i="1" s="1"/>
  <c r="G8" i="1"/>
  <c r="J8" i="1"/>
  <c r="K8" i="1"/>
  <c r="G9" i="1"/>
  <c r="J9" i="1"/>
  <c r="K9" i="1"/>
  <c r="O9" i="1" s="1"/>
  <c r="Q9" i="1" s="1"/>
  <c r="G10" i="1"/>
  <c r="J10" i="1"/>
  <c r="K10" i="1"/>
  <c r="O10" i="1" s="1"/>
  <c r="Q10" i="1" s="1"/>
  <c r="G14" i="1"/>
  <c r="J14" i="1"/>
  <c r="K14" i="1"/>
  <c r="O14" i="1" s="1"/>
  <c r="Q14" i="1" s="1"/>
  <c r="G15" i="1"/>
  <c r="J15" i="1"/>
  <c r="K15" i="1"/>
  <c r="O15" i="1" s="1"/>
  <c r="Q15" i="1" s="1"/>
  <c r="G16" i="1"/>
  <c r="J16" i="1"/>
  <c r="K16" i="1"/>
  <c r="O16" i="1" s="1"/>
  <c r="Q16" i="1" s="1"/>
  <c r="G17" i="1"/>
  <c r="J17" i="1"/>
  <c r="K17" i="1"/>
  <c r="O17" i="1" s="1"/>
  <c r="Q17" i="1" s="1"/>
  <c r="G18" i="1"/>
  <c r="J18" i="1"/>
  <c r="K18" i="1"/>
  <c r="G19" i="1"/>
  <c r="J19" i="1"/>
  <c r="K19" i="1"/>
  <c r="O19" i="1" s="1"/>
  <c r="Q19" i="1" s="1"/>
  <c r="G20" i="1"/>
  <c r="J20" i="1"/>
  <c r="K20" i="1"/>
  <c r="O20" i="1" s="1"/>
  <c r="Q20" i="1" s="1"/>
  <c r="G21" i="1"/>
  <c r="J21" i="1"/>
  <c r="K21" i="1"/>
  <c r="O21" i="1" s="1"/>
  <c r="Q21" i="1" s="1"/>
  <c r="G22" i="1"/>
  <c r="J22" i="1"/>
  <c r="K22" i="1"/>
  <c r="G23" i="1"/>
  <c r="J23" i="1"/>
  <c r="K23" i="1"/>
  <c r="G24" i="1"/>
  <c r="J24" i="1"/>
  <c r="K24" i="1"/>
  <c r="G25" i="1"/>
  <c r="J25" i="1"/>
  <c r="K25" i="1"/>
  <c r="G26" i="1"/>
  <c r="J26" i="1"/>
  <c r="K26" i="1"/>
  <c r="O26" i="1" s="1"/>
  <c r="Q26" i="1" s="1"/>
  <c r="G27" i="1"/>
  <c r="J27" i="1"/>
  <c r="K27" i="1"/>
  <c r="O27" i="1" s="1"/>
  <c r="Q27" i="1" s="1"/>
  <c r="G28" i="1"/>
  <c r="J28" i="1"/>
  <c r="K28" i="1"/>
  <c r="O28" i="1" s="1"/>
  <c r="Q28" i="1" s="1"/>
  <c r="G29" i="1"/>
  <c r="J29" i="1"/>
  <c r="K29" i="1"/>
  <c r="G30" i="1"/>
  <c r="J30" i="1"/>
  <c r="K30" i="1"/>
  <c r="O30" i="1" s="1"/>
  <c r="Q30" i="1" s="1"/>
  <c r="G31" i="1"/>
  <c r="J31" i="1"/>
  <c r="K31" i="1"/>
  <c r="O31" i="1" s="1"/>
  <c r="Q31" i="1" s="1"/>
  <c r="G32" i="1"/>
  <c r="J32" i="1"/>
  <c r="K32" i="1"/>
  <c r="O32" i="1" s="1"/>
  <c r="Q32" i="1" s="1"/>
  <c r="G33" i="1"/>
  <c r="J33" i="1"/>
  <c r="K33" i="1"/>
  <c r="O33" i="1" s="1"/>
  <c r="Q33" i="1" s="1"/>
  <c r="G34" i="1"/>
  <c r="J34" i="1"/>
  <c r="K34" i="1"/>
  <c r="G38" i="1"/>
  <c r="J38" i="1"/>
  <c r="K38" i="1"/>
  <c r="G39" i="1"/>
  <c r="J39" i="1"/>
  <c r="K39" i="1"/>
  <c r="O39" i="1" s="1"/>
  <c r="Q39" i="1" s="1"/>
  <c r="G40" i="1"/>
  <c r="J40" i="1"/>
  <c r="K40" i="1"/>
  <c r="G41" i="1"/>
  <c r="J41" i="1"/>
  <c r="K41" i="1"/>
  <c r="G42" i="1"/>
  <c r="J42" i="1"/>
  <c r="K42" i="1"/>
  <c r="G81" i="1"/>
  <c r="J81" i="1"/>
  <c r="K81" i="1"/>
  <c r="O81" i="1" s="1"/>
  <c r="Q81" i="1" s="1"/>
  <c r="G82" i="1"/>
  <c r="J82" i="1"/>
  <c r="K82" i="1"/>
  <c r="O82" i="1" s="1"/>
  <c r="Q82" i="1" s="1"/>
  <c r="G83" i="1"/>
  <c r="J83" i="1"/>
  <c r="K83" i="1"/>
  <c r="O83" i="1" s="1"/>
  <c r="Q83" i="1" s="1"/>
  <c r="G84" i="1"/>
  <c r="J84" i="1"/>
  <c r="K84" i="1"/>
  <c r="O84" i="1" s="1"/>
  <c r="Q84" i="1" s="1"/>
  <c r="G85" i="1"/>
  <c r="J85" i="1"/>
  <c r="K85" i="1"/>
  <c r="G86" i="1"/>
  <c r="J86" i="1"/>
  <c r="K86" i="1"/>
  <c r="O86" i="1" s="1"/>
  <c r="Q86" i="1" s="1"/>
  <c r="G87" i="1"/>
  <c r="J87" i="1"/>
  <c r="K87" i="1"/>
  <c r="O87" i="1" s="1"/>
  <c r="Q87" i="1" s="1"/>
  <c r="G88" i="1"/>
  <c r="J88" i="1"/>
  <c r="K88" i="1"/>
  <c r="O88" i="1" s="1"/>
  <c r="Q88" i="1" s="1"/>
  <c r="G89" i="1"/>
  <c r="J89" i="1"/>
  <c r="K89" i="1"/>
  <c r="O89" i="1" s="1"/>
  <c r="Q89" i="1" s="1"/>
  <c r="G90" i="1"/>
  <c r="J90" i="1"/>
  <c r="K90" i="1"/>
  <c r="O90" i="1" s="1"/>
  <c r="Q90" i="1" s="1"/>
  <c r="G91" i="1"/>
  <c r="J91" i="1"/>
  <c r="K91" i="1"/>
  <c r="G92" i="1"/>
  <c r="J92" i="1"/>
  <c r="K92" i="1"/>
  <c r="O92" i="1" s="1"/>
  <c r="Q92" i="1" s="1"/>
  <c r="G93" i="1"/>
  <c r="J93" i="1"/>
  <c r="K93" i="1"/>
  <c r="O93" i="1" s="1"/>
  <c r="Q93" i="1" s="1"/>
  <c r="G94" i="1"/>
  <c r="J94" i="1"/>
  <c r="K94" i="1"/>
  <c r="O94" i="1" s="1"/>
  <c r="Q94" i="1" s="1"/>
  <c r="G95" i="1"/>
  <c r="J95" i="1"/>
  <c r="K95" i="1"/>
  <c r="O95" i="1" s="1"/>
  <c r="Q95" i="1" s="1"/>
  <c r="O38" i="1" l="1"/>
  <c r="Q38" i="1" s="1"/>
  <c r="O42" i="1"/>
  <c r="Q42" i="1" s="1"/>
  <c r="O25" i="1"/>
  <c r="Q25" i="1" s="1"/>
  <c r="O8" i="1"/>
  <c r="Q8" i="1" s="1"/>
  <c r="O91" i="1"/>
  <c r="Q91" i="1" s="1"/>
  <c r="O85" i="1"/>
  <c r="Q85" i="1" s="1"/>
  <c r="O41" i="1"/>
  <c r="Q41" i="1" s="1"/>
  <c r="O24" i="1"/>
  <c r="Q24" i="1" s="1"/>
  <c r="O18" i="1"/>
  <c r="Q18" i="1" s="1"/>
  <c r="O40" i="1"/>
  <c r="Q40" i="1" s="1"/>
  <c r="O34" i="1"/>
  <c r="Q34" i="1" s="1"/>
  <c r="O29" i="1"/>
  <c r="Q29" i="1" s="1"/>
  <c r="O23" i="1"/>
  <c r="Q23" i="1" s="1"/>
  <c r="O22" i="1"/>
  <c r="Q22" i="1" s="1"/>
  <c r="J14" i="2"/>
  <c r="K14" i="2"/>
  <c r="O14" i="2" s="1"/>
  <c r="Q14" i="2" s="1"/>
  <c r="J15" i="2"/>
  <c r="K15" i="2"/>
  <c r="O15" i="2" s="1"/>
  <c r="Q15" i="2" s="1"/>
  <c r="J16" i="2"/>
  <c r="K16" i="2"/>
  <c r="O16" i="2" s="1"/>
  <c r="Q16" i="2" s="1"/>
  <c r="J17" i="2"/>
  <c r="K17" i="2"/>
  <c r="O17" i="2" s="1"/>
  <c r="Q17" i="2" s="1"/>
  <c r="J18" i="2"/>
  <c r="K18" i="2"/>
  <c r="O18" i="2" s="1"/>
  <c r="Q18" i="2" s="1"/>
  <c r="J19" i="2"/>
  <c r="K19" i="2"/>
  <c r="O19" i="2" s="1"/>
  <c r="Q19" i="2" s="1"/>
  <c r="J20" i="2"/>
  <c r="K20" i="2"/>
  <c r="O20" i="2" s="1"/>
  <c r="Q20" i="2" s="1"/>
  <c r="J21" i="2"/>
  <c r="K21" i="2"/>
  <c r="O21" i="2" s="1"/>
  <c r="Q21" i="2" s="1"/>
  <c r="J22" i="2"/>
  <c r="K22" i="2"/>
  <c r="O22" i="2" s="1"/>
  <c r="Q22" i="2" s="1"/>
  <c r="J23" i="2"/>
  <c r="K23" i="2"/>
  <c r="O23" i="2" s="1"/>
  <c r="Q23" i="2" s="1"/>
  <c r="K24" i="2"/>
  <c r="O24" i="2" s="1"/>
  <c r="Q24" i="2" s="1"/>
  <c r="J25" i="2"/>
  <c r="K25" i="2"/>
  <c r="O25" i="2" s="1"/>
  <c r="Q25" i="2" s="1"/>
  <c r="J26" i="2"/>
  <c r="K26" i="2"/>
  <c r="O26" i="2" s="1"/>
  <c r="Q26" i="2" s="1"/>
  <c r="J28" i="2"/>
  <c r="K28" i="2"/>
  <c r="O28" i="2" s="1"/>
  <c r="Q28" i="2" s="1"/>
  <c r="J29" i="2"/>
  <c r="K29" i="2"/>
  <c r="O29" i="2" s="1"/>
  <c r="Q29" i="2" s="1"/>
  <c r="J30" i="2"/>
  <c r="K30" i="2"/>
  <c r="O30" i="2" s="1"/>
  <c r="Q30" i="2" s="1"/>
  <c r="J31" i="2"/>
  <c r="K31" i="2"/>
  <c r="O31" i="2" s="1"/>
  <c r="Q31" i="2" s="1"/>
  <c r="J32" i="2"/>
  <c r="K32" i="2"/>
  <c r="O32" i="2" s="1"/>
  <c r="Q32" i="2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8" i="2"/>
  <c r="G29" i="2"/>
  <c r="G30" i="2"/>
  <c r="G31" i="2"/>
  <c r="G32" i="2"/>
  <c r="H111" i="1" l="1"/>
  <c r="P111" i="1"/>
  <c r="P36" i="2"/>
  <c r="I36" i="2"/>
  <c r="J36" i="2" s="1"/>
  <c r="H36" i="2"/>
  <c r="G36" i="2"/>
  <c r="G6" i="2"/>
  <c r="G5" i="2"/>
  <c r="G111" i="1" l="1"/>
  <c r="J5" i="2"/>
  <c r="J13" i="2" l="1"/>
  <c r="J12" i="2"/>
  <c r="J11" i="2"/>
  <c r="J10" i="2"/>
  <c r="J9" i="2"/>
  <c r="J8" i="2"/>
  <c r="J7" i="2"/>
  <c r="J6" i="2"/>
  <c r="K5" i="2" l="1"/>
  <c r="O5" i="2" s="1"/>
  <c r="Q5" i="2" s="1"/>
  <c r="K7" i="2" l="1"/>
  <c r="O7" i="2" s="1"/>
  <c r="Q7" i="2" s="1"/>
  <c r="K8" i="2"/>
  <c r="O8" i="2" s="1"/>
  <c r="Q8" i="2" s="1"/>
  <c r="K9" i="2"/>
  <c r="O9" i="2" s="1"/>
  <c r="Q9" i="2" s="1"/>
  <c r="K10" i="2"/>
  <c r="O10" i="2" s="1"/>
  <c r="Q10" i="2" s="1"/>
  <c r="K11" i="2"/>
  <c r="O11" i="2" s="1"/>
  <c r="Q11" i="2" s="1"/>
  <c r="K12" i="2"/>
  <c r="O12" i="2" s="1"/>
  <c r="Q12" i="2" s="1"/>
  <c r="K13" i="2"/>
  <c r="O13" i="2" s="1"/>
  <c r="Q13" i="2" s="1"/>
  <c r="A1" i="2" l="1"/>
  <c r="K6" i="2" l="1"/>
  <c r="K36" i="2" l="1"/>
  <c r="O6" i="2"/>
  <c r="Q6" i="2" s="1"/>
  <c r="Q36" i="2" s="1"/>
  <c r="O36" i="2" l="1"/>
  <c r="I111" i="1" l="1"/>
  <c r="J111" i="1" s="1"/>
  <c r="O111" i="1"/>
  <c r="Q111" i="1"/>
  <c r="K1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PC83</author>
  </authors>
  <commentList>
    <comment ref="H4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謄本など</t>
        </r>
      </text>
    </comment>
    <comment ref="I4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郵送料など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PC83</author>
  </authors>
  <commentList>
    <comment ref="H4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謄本など</t>
        </r>
      </text>
    </comment>
    <comment ref="I4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郵送料など</t>
        </r>
      </text>
    </comment>
  </commentList>
</comments>
</file>

<file path=xl/sharedStrings.xml><?xml version="1.0" encoding="utf-8"?>
<sst xmlns="http://schemas.openxmlformats.org/spreadsheetml/2006/main" count="835" uniqueCount="388">
  <si>
    <t>クライアント名</t>
    <rPh sb="6" eb="7">
      <t>メイ</t>
    </rPh>
    <phoneticPr fontId="1"/>
  </si>
  <si>
    <t>報酬額</t>
    <rPh sb="0" eb="2">
      <t>ホウシュウ</t>
    </rPh>
    <rPh sb="2" eb="3">
      <t>ガク</t>
    </rPh>
    <phoneticPr fontId="1"/>
  </si>
  <si>
    <t>立替実費</t>
    <rPh sb="0" eb="2">
      <t>タテカエ</t>
    </rPh>
    <rPh sb="2" eb="4">
      <t>ジッピ</t>
    </rPh>
    <phoneticPr fontId="1"/>
  </si>
  <si>
    <t>前受金</t>
    <rPh sb="0" eb="2">
      <t>マエウ</t>
    </rPh>
    <rPh sb="2" eb="3">
      <t>キン</t>
    </rPh>
    <phoneticPr fontId="1"/>
  </si>
  <si>
    <t>（消費税）</t>
    <rPh sb="1" eb="4">
      <t>ショウヒゼイ</t>
    </rPh>
    <phoneticPr fontId="1"/>
  </si>
  <si>
    <t>立替実費計</t>
    <rPh sb="0" eb="1">
      <t>タ</t>
    </rPh>
    <rPh sb="1" eb="2">
      <t>カ</t>
    </rPh>
    <rPh sb="2" eb="4">
      <t>ジッピ</t>
    </rPh>
    <rPh sb="4" eb="5">
      <t>ケイ</t>
    </rPh>
    <phoneticPr fontId="1"/>
  </si>
  <si>
    <t>非課税分</t>
    <rPh sb="0" eb="3">
      <t>ヒカゼイ</t>
    </rPh>
    <rPh sb="3" eb="4">
      <t>ブン</t>
    </rPh>
    <phoneticPr fontId="1"/>
  </si>
  <si>
    <t>課税分(税込)</t>
    <rPh sb="0" eb="2">
      <t>カゼイ</t>
    </rPh>
    <rPh sb="2" eb="3">
      <t>ブン</t>
    </rPh>
    <rPh sb="4" eb="6">
      <t>ゼイコ</t>
    </rPh>
    <phoneticPr fontId="1"/>
  </si>
  <si>
    <t>差引請求額
(合計-前受金)</t>
    <rPh sb="0" eb="2">
      <t>サシヒキ</t>
    </rPh>
    <rPh sb="2" eb="4">
      <t>セイキュウ</t>
    </rPh>
    <rPh sb="4" eb="5">
      <t>ガク</t>
    </rPh>
    <rPh sb="7" eb="9">
      <t>ゴウケイ</t>
    </rPh>
    <rPh sb="10" eb="12">
      <t>マエウ</t>
    </rPh>
    <rPh sb="12" eb="13">
      <t>キン</t>
    </rPh>
    <phoneticPr fontId="1"/>
  </si>
  <si>
    <t>合　計</t>
    <rPh sb="0" eb="1">
      <t>ゴウ</t>
    </rPh>
    <rPh sb="2" eb="3">
      <t>ケイ</t>
    </rPh>
    <phoneticPr fontId="1"/>
  </si>
  <si>
    <t>税　込</t>
    <rPh sb="0" eb="1">
      <t>ゼイ</t>
    </rPh>
    <rPh sb="2" eb="3">
      <t>コミ</t>
    </rPh>
    <phoneticPr fontId="1"/>
  </si>
  <si>
    <t>案件管理番号
（請求書番号）</t>
    <phoneticPr fontId="1"/>
  </si>
  <si>
    <t>備　考</t>
    <rPh sb="0" eb="1">
      <t>ソナエ</t>
    </rPh>
    <rPh sb="2" eb="3">
      <t>コウ</t>
    </rPh>
    <phoneticPr fontId="1"/>
  </si>
  <si>
    <t>数値シートと請求書チェック</t>
    <rPh sb="0" eb="2">
      <t>スウチ</t>
    </rPh>
    <rPh sb="6" eb="9">
      <t>セイキュウショ</t>
    </rPh>
    <phoneticPr fontId="1"/>
  </si>
  <si>
    <t>横浜・藤沢・渋谷
ルリアン
報酬額合計</t>
    <rPh sb="0" eb="2">
      <t>ヨコハマ</t>
    </rPh>
    <rPh sb="3" eb="5">
      <t>フジサワ</t>
    </rPh>
    <rPh sb="6" eb="8">
      <t>シブタニ</t>
    </rPh>
    <rPh sb="14" eb="16">
      <t>ホウシュウ</t>
    </rPh>
    <rPh sb="16" eb="17">
      <t>ガク</t>
    </rPh>
    <rPh sb="17" eb="19">
      <t>ゴウケイ</t>
    </rPh>
    <phoneticPr fontId="1"/>
  </si>
  <si>
    <t>立替実費差引額</t>
    <rPh sb="0" eb="4">
      <t>タテカエジッピ</t>
    </rPh>
    <rPh sb="4" eb="7">
      <t>サシヒキガク</t>
    </rPh>
    <phoneticPr fontId="1"/>
  </si>
  <si>
    <t>非課税分</t>
    <rPh sb="0" eb="4">
      <t>ヒカゼイブン</t>
    </rPh>
    <phoneticPr fontId="1"/>
  </si>
  <si>
    <t>課税分（税込）</t>
    <rPh sb="0" eb="3">
      <t>カゼイブン</t>
    </rPh>
    <rPh sb="4" eb="6">
      <t>ゼイコミ</t>
    </rPh>
    <phoneticPr fontId="1"/>
  </si>
  <si>
    <t>差引請求額
合計-（前受金+差引実費)</t>
    <rPh sb="0" eb="2">
      <t>サシヒキ</t>
    </rPh>
    <rPh sb="2" eb="4">
      <t>セイキュウ</t>
    </rPh>
    <rPh sb="4" eb="5">
      <t>ガク</t>
    </rPh>
    <rPh sb="6" eb="8">
      <t>ゴウケイ</t>
    </rPh>
    <rPh sb="10" eb="12">
      <t>マエウ</t>
    </rPh>
    <rPh sb="12" eb="13">
      <t>キン</t>
    </rPh>
    <rPh sb="14" eb="18">
      <t>サシヒキジッピ</t>
    </rPh>
    <phoneticPr fontId="1"/>
  </si>
  <si>
    <t>差引額計</t>
    <rPh sb="0" eb="3">
      <t>サシヒキガク</t>
    </rPh>
    <rPh sb="3" eb="4">
      <t>ケイ</t>
    </rPh>
    <phoneticPr fontId="1"/>
  </si>
  <si>
    <t>入金日</t>
    <rPh sb="0" eb="3">
      <t>ニュウキンビ</t>
    </rPh>
    <phoneticPr fontId="1"/>
  </si>
  <si>
    <t>チーム</t>
    <phoneticPr fontId="1"/>
  </si>
  <si>
    <t>受注</t>
    <rPh sb="0" eb="2">
      <t>ジュチュウ</t>
    </rPh>
    <phoneticPr fontId="1"/>
  </si>
  <si>
    <t>管理</t>
    <rPh sb="0" eb="2">
      <t>カンリ</t>
    </rPh>
    <phoneticPr fontId="1"/>
  </si>
  <si>
    <t>不備内容</t>
    <rPh sb="0" eb="2">
      <t>フビ</t>
    </rPh>
    <rPh sb="2" eb="4">
      <t>ナイヨウ</t>
    </rPh>
    <phoneticPr fontId="1"/>
  </si>
  <si>
    <t xml:space="preserve"> </t>
    <phoneticPr fontId="1"/>
  </si>
  <si>
    <t>発行日</t>
    <rPh sb="0" eb="3">
      <t>ハッコウビ</t>
    </rPh>
    <phoneticPr fontId="1"/>
  </si>
  <si>
    <t>行政書士法人　オーシャン12月分売上一覧表</t>
    <rPh sb="0" eb="2">
      <t>ギョウセイ</t>
    </rPh>
    <rPh sb="2" eb="4">
      <t>ショシ</t>
    </rPh>
    <rPh sb="4" eb="6">
      <t>ホウジン</t>
    </rPh>
    <rPh sb="14" eb="16">
      <t>ガツブン</t>
    </rPh>
    <rPh sb="16" eb="18">
      <t>ウリアゲ</t>
    </rPh>
    <rPh sb="18" eb="20">
      <t>イチラン</t>
    </rPh>
    <rPh sb="20" eb="21">
      <t>ヒョウ</t>
    </rPh>
    <phoneticPr fontId="1"/>
  </si>
  <si>
    <t>清水　博子</t>
  </si>
  <si>
    <t>山田Ｔ</t>
  </si>
  <si>
    <t>山田</t>
  </si>
  <si>
    <t>未入金</t>
  </si>
  <si>
    <t>長岡　正人</t>
  </si>
  <si>
    <t>R7Y08A242</t>
  </si>
  <si>
    <t>丸山　久子</t>
  </si>
  <si>
    <t>伊藤Ｔ</t>
  </si>
  <si>
    <t>伊藤</t>
  </si>
  <si>
    <t>菅家</t>
  </si>
  <si>
    <t>R7Y04B053</t>
    <phoneticPr fontId="1"/>
  </si>
  <si>
    <r>
      <rPr>
        <sz val="10"/>
        <color theme="1"/>
        <rFont val="ＭＳ Ｐゴシック"/>
        <family val="2"/>
        <charset val="128"/>
      </rPr>
      <t>松本繭</t>
    </r>
    <r>
      <rPr>
        <sz val="10"/>
        <color theme="1"/>
        <rFont val="Arial"/>
        <family val="2"/>
      </rPr>
      <t xml:space="preserve">	</t>
    </r>
    <phoneticPr fontId="1"/>
  </si>
  <si>
    <t>蔭山Ｔ</t>
  </si>
  <si>
    <t>蔭山</t>
  </si>
  <si>
    <t>小川</t>
  </si>
  <si>
    <t>未入金</t>
    <rPh sb="0" eb="3">
      <t>ミニュウキン</t>
    </rPh>
    <phoneticPr fontId="1"/>
  </si>
  <si>
    <t>R7Y07B021</t>
    <phoneticPr fontId="1"/>
  </si>
  <si>
    <t>松本繭</t>
    <phoneticPr fontId="1"/>
  </si>
  <si>
    <t>合算請求　435,740円</t>
    <rPh sb="0" eb="2">
      <t>ガッサン</t>
    </rPh>
    <rPh sb="2" eb="4">
      <t>セイキュウ</t>
    </rPh>
    <rPh sb="12" eb="13">
      <t>エン</t>
    </rPh>
    <phoneticPr fontId="1"/>
  </si>
  <si>
    <t>R7Y11A434</t>
    <phoneticPr fontId="1"/>
  </si>
  <si>
    <r>
      <rPr>
        <sz val="10"/>
        <color theme="1"/>
        <rFont val="ＭＳ Ｐゴシック"/>
        <family val="2"/>
        <charset val="128"/>
      </rPr>
      <t>関　雅秀</t>
    </r>
    <r>
      <rPr>
        <sz val="10"/>
        <color theme="1"/>
        <rFont val="Arial"/>
        <family val="2"/>
      </rPr>
      <t xml:space="preserve">	</t>
    </r>
    <phoneticPr fontId="1"/>
  </si>
  <si>
    <t>R7Y12B008</t>
    <phoneticPr fontId="1"/>
  </si>
  <si>
    <t>株式会社サードプレイス</t>
    <phoneticPr fontId="1"/>
  </si>
  <si>
    <t>R7Y12B007</t>
    <phoneticPr fontId="1"/>
  </si>
  <si>
    <r>
      <t xml:space="preserve">	</t>
    </r>
    <r>
      <rPr>
        <sz val="10"/>
        <color theme="1"/>
        <rFont val="ＭＳ Ｐゴシック"/>
        <family val="2"/>
        <charset val="128"/>
      </rPr>
      <t>株式会社サードプレイス</t>
    </r>
    <phoneticPr fontId="1"/>
  </si>
  <si>
    <t>新井Ｔ</t>
  </si>
  <si>
    <t>新井</t>
  </si>
  <si>
    <t>R7Y09B039</t>
    <phoneticPr fontId="1"/>
  </si>
  <si>
    <t>斎木博昌</t>
    <phoneticPr fontId="1"/>
  </si>
  <si>
    <t>山崎（亮）</t>
  </si>
  <si>
    <t>森下</t>
  </si>
  <si>
    <t>未入金</t>
    <phoneticPr fontId="1"/>
  </si>
  <si>
    <t>R7F12A022</t>
  </si>
  <si>
    <t>鵜飼T・藤沢</t>
  </si>
  <si>
    <t>鵜飼</t>
  </si>
  <si>
    <t>藤田（さ）</t>
  </si>
  <si>
    <r>
      <rPr>
        <sz val="11"/>
        <color rgb="FF495057"/>
        <rFont val="ＭＳ Ｐゴシック"/>
        <family val="2"/>
        <charset val="128"/>
      </rPr>
      <t>案件番号間違い</t>
    </r>
    <rPh sb="0" eb="2">
      <t>アンケン</t>
    </rPh>
    <rPh sb="2" eb="4">
      <t>バンゴウ</t>
    </rPh>
    <rPh sb="4" eb="6">
      <t>マチガ</t>
    </rPh>
    <phoneticPr fontId="1"/>
  </si>
  <si>
    <t>R6-Y09180</t>
    <phoneticPr fontId="1"/>
  </si>
  <si>
    <t>大須賀　小夜子</t>
    <phoneticPr fontId="1"/>
  </si>
  <si>
    <t>鵜飼Ｔ</t>
  </si>
  <si>
    <t>須田</t>
  </si>
  <si>
    <t>R7Y08A159</t>
    <phoneticPr fontId="1"/>
  </si>
  <si>
    <t>渡邉</t>
  </si>
  <si>
    <t>田中（玲）</t>
  </si>
  <si>
    <t xml:space="preserve">	野中　愼司</t>
    <phoneticPr fontId="1"/>
  </si>
  <si>
    <t>R7Y06A034</t>
  </si>
  <si>
    <t>石井</t>
  </si>
  <si>
    <t>R7Y09A316</t>
  </si>
  <si>
    <r>
      <rPr>
        <sz val="11"/>
        <color rgb="FF495057"/>
        <rFont val="ＭＳ Ｐゴシック"/>
        <family val="2"/>
        <charset val="128"/>
      </rPr>
      <t>安斉　毅</t>
    </r>
    <r>
      <rPr>
        <sz val="11"/>
        <color rgb="FF495057"/>
        <rFont val="Segoe UI"/>
        <family val="2"/>
      </rPr>
      <t xml:space="preserve">	</t>
    </r>
    <phoneticPr fontId="1"/>
  </si>
  <si>
    <t>小澤</t>
  </si>
  <si>
    <t>R7Y12A014</t>
    <phoneticPr fontId="1"/>
  </si>
  <si>
    <r>
      <t xml:space="preserve">	</t>
    </r>
    <r>
      <rPr>
        <sz val="10"/>
        <color theme="1"/>
        <rFont val="游ゴシック"/>
        <family val="2"/>
        <charset val="128"/>
      </rPr>
      <t>杉山　敏朗</t>
    </r>
    <r>
      <rPr>
        <sz val="10"/>
        <color theme="1"/>
        <rFont val="Arial"/>
        <family val="2"/>
      </rPr>
      <t xml:space="preserve">	</t>
    </r>
    <phoneticPr fontId="1"/>
  </si>
  <si>
    <t>経営企画Ｔ</t>
  </si>
  <si>
    <t>星野</t>
  </si>
  <si>
    <t>山﨑健</t>
  </si>
  <si>
    <t>佐々木　正勝</t>
  </si>
  <si>
    <t>五十嵐相続T</t>
  </si>
  <si>
    <t>森谷</t>
  </si>
  <si>
    <t>中山和子</t>
  </si>
  <si>
    <t>上田</t>
  </si>
  <si>
    <t>成川　桂子</t>
  </si>
  <si>
    <t>花井</t>
  </si>
  <si>
    <t>根本英夫</t>
  </si>
  <si>
    <t>菅野　克美</t>
  </si>
  <si>
    <t>杉原LPT</t>
  </si>
  <si>
    <t>杉原</t>
  </si>
  <si>
    <t>岩永　陽次</t>
  </si>
  <si>
    <t>馬場Ｔ</t>
  </si>
  <si>
    <t>角田</t>
  </si>
  <si>
    <t>宮田</t>
  </si>
  <si>
    <t>R7Y07B028</t>
    <phoneticPr fontId="1"/>
  </si>
  <si>
    <t>R7Y10B009</t>
    <phoneticPr fontId="1"/>
  </si>
  <si>
    <t>R7Y11B021</t>
    <phoneticPr fontId="1"/>
  </si>
  <si>
    <t>R7Y06A070</t>
    <phoneticPr fontId="1"/>
  </si>
  <si>
    <t>R7Y05B030</t>
    <phoneticPr fontId="1"/>
  </si>
  <si>
    <t>R7Y09A342</t>
    <phoneticPr fontId="1"/>
  </si>
  <si>
    <t>R7Y05A264</t>
    <phoneticPr fontId="1"/>
  </si>
  <si>
    <t>案件番号間違い</t>
    <rPh sb="0" eb="2">
      <t>アンケン</t>
    </rPh>
    <rPh sb="2" eb="4">
      <t>バンゴウ</t>
    </rPh>
    <rPh sb="4" eb="6">
      <t>マチガ</t>
    </rPh>
    <phoneticPr fontId="1"/>
  </si>
  <si>
    <t xml:space="preserve">R7Y10T023	</t>
    <phoneticPr fontId="1"/>
  </si>
  <si>
    <t>五十嵐登記T</t>
  </si>
  <si>
    <r>
      <rPr>
        <sz val="11"/>
        <color rgb="FF495057"/>
        <rFont val="ＭＳ Ｐゴシック"/>
        <family val="2"/>
        <charset val="128"/>
      </rPr>
      <t>前受け金入金日が間違っているので差し替え依頼</t>
    </r>
    <rPh sb="0" eb="2">
      <t>マエウ</t>
    </rPh>
    <rPh sb="3" eb="4">
      <t>キン</t>
    </rPh>
    <rPh sb="4" eb="6">
      <t>ニュウキン</t>
    </rPh>
    <rPh sb="6" eb="7">
      <t>ビ</t>
    </rPh>
    <rPh sb="8" eb="10">
      <t>マチガ</t>
    </rPh>
    <rPh sb="16" eb="17">
      <t>サ</t>
    </rPh>
    <rPh sb="18" eb="19">
      <t>カ</t>
    </rPh>
    <rPh sb="20" eb="22">
      <t>イライ</t>
    </rPh>
    <phoneticPr fontId="1"/>
  </si>
  <si>
    <t>R7Y07A078</t>
    <phoneticPr fontId="1"/>
  </si>
  <si>
    <r>
      <rPr>
        <sz val="10"/>
        <color theme="1"/>
        <rFont val="ＭＳ Ｐゴシック"/>
        <family val="2"/>
        <charset val="128"/>
      </rPr>
      <t>山木　まゆみ</t>
    </r>
    <r>
      <rPr>
        <sz val="10"/>
        <color theme="1"/>
        <rFont val="Arial"/>
        <family val="2"/>
      </rPr>
      <t xml:space="preserve">	</t>
    </r>
    <phoneticPr fontId="1"/>
  </si>
  <si>
    <t>嶋津</t>
  </si>
  <si>
    <t>久田</t>
  </si>
  <si>
    <t>R7Y11A468</t>
    <phoneticPr fontId="1"/>
  </si>
  <si>
    <t>平沼　秋子</t>
    <phoneticPr fontId="1"/>
  </si>
  <si>
    <t>R7Y09A382</t>
  </si>
  <si>
    <t>佐藤　宏子</t>
  </si>
  <si>
    <t>馬場</t>
  </si>
  <si>
    <t>福元</t>
  </si>
  <si>
    <t>R7Y09A292</t>
  </si>
  <si>
    <t>田中　亜矢</t>
  </si>
  <si>
    <t>梅澤</t>
  </si>
  <si>
    <t>R7Y09A391</t>
  </si>
  <si>
    <t>東　真美江</t>
  </si>
  <si>
    <t>R7Y10A105</t>
  </si>
  <si>
    <t>一般社団法人いきいきライフ協会</t>
  </si>
  <si>
    <t>岡田</t>
  </si>
  <si>
    <t>R5-Y02150</t>
  </si>
  <si>
    <r>
      <rPr>
        <sz val="9"/>
        <color theme="1"/>
        <rFont val="ＭＳ ゴシック"/>
        <family val="3"/>
        <charset val="128"/>
      </rPr>
      <t>嘉村　信子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游ゴシック"/>
        <family val="2"/>
        <charset val="128"/>
      </rPr>
      <t>浅倉　泉</t>
    </r>
    <phoneticPr fontId="1"/>
  </si>
  <si>
    <t>R6.9月2日</t>
    <rPh sb="4" eb="5">
      <t>ガツ</t>
    </rPh>
    <rPh sb="6" eb="7">
      <t>ニチ</t>
    </rPh>
    <phoneticPr fontId="1"/>
  </si>
  <si>
    <t>山田/嶋津Ｔ</t>
  </si>
  <si>
    <t>R6,9⇒R7.12計上へ</t>
    <rPh sb="10" eb="12">
      <t>ケイジョウ</t>
    </rPh>
    <phoneticPr fontId="1"/>
  </si>
  <si>
    <t>R7Y10A130</t>
  </si>
  <si>
    <t>佐々木　邦彦</t>
  </si>
  <si>
    <t>R7Y07A109</t>
  </si>
  <si>
    <t>菅野　孝之</t>
  </si>
  <si>
    <t>五十嵐</t>
  </si>
  <si>
    <t>高橋　克巳</t>
  </si>
  <si>
    <t>井澤</t>
  </si>
  <si>
    <t>竹田　司</t>
  </si>
  <si>
    <t>R7Y08A271</t>
  </si>
  <si>
    <t>大嶋　彰</t>
  </si>
  <si>
    <t>渡部</t>
  </si>
  <si>
    <t>R7Y11A049</t>
  </si>
  <si>
    <t>齋藤　綾乃</t>
  </si>
  <si>
    <t>齋藤</t>
  </si>
  <si>
    <t>小泉</t>
  </si>
  <si>
    <t>鵜飼T・藤沢</t>
    <phoneticPr fontId="1"/>
  </si>
  <si>
    <t>R7Y05A176</t>
  </si>
  <si>
    <t>井上　眞弓</t>
  </si>
  <si>
    <t>R7Y10B082</t>
  </si>
  <si>
    <t>古賀　和子</t>
  </si>
  <si>
    <t>R7Y08B038</t>
  </si>
  <si>
    <t>宮崎　泰之　宮崎　奈穂</t>
    <phoneticPr fontId="1"/>
  </si>
  <si>
    <t>請求書名：宮崎　泰之　様</t>
    <rPh sb="0" eb="3">
      <t>セイキュウショ</t>
    </rPh>
    <rPh sb="3" eb="4">
      <t>メイ</t>
    </rPh>
    <rPh sb="11" eb="12">
      <t>サマ</t>
    </rPh>
    <phoneticPr fontId="1"/>
  </si>
  <si>
    <t>R7Y08A182</t>
    <phoneticPr fontId="1"/>
  </si>
  <si>
    <t>津村　昌洋</t>
    <phoneticPr fontId="1"/>
  </si>
  <si>
    <t>安井</t>
  </si>
  <si>
    <t>R7Y01A115</t>
    <phoneticPr fontId="1"/>
  </si>
  <si>
    <t>奥野　信太郎</t>
    <phoneticPr fontId="1"/>
  </si>
  <si>
    <t>R7Y03A115</t>
    <phoneticPr fontId="1"/>
  </si>
  <si>
    <t>合算請求910,628円</t>
    <rPh sb="0" eb="2">
      <t>ガッサン</t>
    </rPh>
    <rPh sb="2" eb="4">
      <t>セイキュウ</t>
    </rPh>
    <rPh sb="11" eb="12">
      <t>エン</t>
    </rPh>
    <phoneticPr fontId="1"/>
  </si>
  <si>
    <t>R7Y05A236</t>
    <phoneticPr fontId="1"/>
  </si>
  <si>
    <r>
      <rPr>
        <sz val="11"/>
        <color rgb="FF495057"/>
        <rFont val="ＭＳ Ｐゴシック"/>
        <family val="2"/>
        <charset val="128"/>
      </rPr>
      <t>振込先の表記なし。</t>
    </r>
    <rPh sb="0" eb="3">
      <t>フリコミサキ</t>
    </rPh>
    <rPh sb="4" eb="6">
      <t>ヒョウキ</t>
    </rPh>
    <phoneticPr fontId="1"/>
  </si>
  <si>
    <r>
      <rPr>
        <sz val="10"/>
        <color theme="1"/>
        <rFont val="ＭＳ Ｐゴシック"/>
        <family val="2"/>
        <charset val="128"/>
      </rPr>
      <t>滝口　登紀子</t>
    </r>
    <r>
      <rPr>
        <sz val="10"/>
        <color theme="1"/>
        <rFont val="Arial"/>
        <family val="2"/>
      </rPr>
      <t xml:space="preserve">	</t>
    </r>
    <phoneticPr fontId="1"/>
  </si>
  <si>
    <t>大塚</t>
  </si>
  <si>
    <t>R7Y01B026</t>
    <phoneticPr fontId="1"/>
  </si>
  <si>
    <t>安藤　南</t>
    <phoneticPr fontId="1"/>
  </si>
  <si>
    <r>
      <rPr>
        <sz val="11"/>
        <color rgb="FF495057"/>
        <rFont val="ＭＳ Ｐゴシック"/>
        <family val="2"/>
        <charset val="128"/>
      </rPr>
      <t>前受金受領日が違う</t>
    </r>
    <rPh sb="0" eb="2">
      <t>マエウケ</t>
    </rPh>
    <rPh sb="2" eb="3">
      <t>キン</t>
    </rPh>
    <rPh sb="3" eb="5">
      <t>ジュリョウ</t>
    </rPh>
    <rPh sb="5" eb="6">
      <t>ビ</t>
    </rPh>
    <rPh sb="7" eb="8">
      <t>チガ</t>
    </rPh>
    <phoneticPr fontId="1"/>
  </si>
  <si>
    <t>R7Y10B030</t>
    <phoneticPr fontId="1"/>
  </si>
  <si>
    <t xml:space="preserve">浅沼　友美	</t>
    <phoneticPr fontId="1"/>
  </si>
  <si>
    <t>栗田</t>
  </si>
  <si>
    <t xml:space="preserve">R7Y03B061	</t>
    <phoneticPr fontId="1"/>
  </si>
  <si>
    <t>株式会社オーシャン</t>
    <phoneticPr fontId="1"/>
  </si>
  <si>
    <t>岡部</t>
  </si>
  <si>
    <t xml:space="preserve">R7Y09A004	</t>
    <phoneticPr fontId="1"/>
  </si>
  <si>
    <t>R7Y12A059</t>
    <phoneticPr fontId="1"/>
  </si>
  <si>
    <t>高井</t>
  </si>
  <si>
    <t>R7F06A108</t>
    <phoneticPr fontId="1"/>
  </si>
  <si>
    <r>
      <t xml:space="preserve">	</t>
    </r>
    <r>
      <rPr>
        <sz val="10"/>
        <color theme="1"/>
        <rFont val="ＭＳ Ｐゴシック"/>
        <family val="2"/>
        <charset val="128"/>
      </rPr>
      <t>阿部　高久</t>
    </r>
    <r>
      <rPr>
        <sz val="10"/>
        <color theme="1"/>
        <rFont val="Arial"/>
        <family val="2"/>
      </rPr>
      <t xml:space="preserve">	</t>
    </r>
    <phoneticPr fontId="1"/>
  </si>
  <si>
    <t>R7F05A166</t>
    <phoneticPr fontId="1"/>
  </si>
  <si>
    <t>R7Y11A013</t>
  </si>
  <si>
    <t>平沢　和弘</t>
  </si>
  <si>
    <t>R7Y10A012</t>
  </si>
  <si>
    <t>近藤　由紀子</t>
  </si>
  <si>
    <t>R7Y03A133</t>
  </si>
  <si>
    <t>大塚　誠一郎</t>
  </si>
  <si>
    <t>R7Y12A081</t>
  </si>
  <si>
    <t>松下　清子</t>
  </si>
  <si>
    <r>
      <rPr>
        <sz val="11"/>
        <color rgb="FF000000"/>
        <rFont val="ＭＳ Ｐゴシック"/>
        <family val="2"/>
        <charset val="128"/>
      </rPr>
      <t>数値管理シートの請求書発行日修正</t>
    </r>
    <r>
      <rPr>
        <sz val="11"/>
        <color rgb="FF000000"/>
        <rFont val="Segoe UI"/>
        <family val="2"/>
      </rPr>
      <t>12/12</t>
    </r>
    <r>
      <rPr>
        <sz val="11"/>
        <color rgb="FF000000"/>
        <rFont val="ＭＳ Ｐゴシック"/>
        <family val="2"/>
        <charset val="128"/>
      </rPr>
      <t>→</t>
    </r>
    <r>
      <rPr>
        <sz val="11"/>
        <color rgb="FF000000"/>
        <rFont val="Segoe UI"/>
        <family val="2"/>
      </rPr>
      <t>12/10</t>
    </r>
    <rPh sb="0" eb="2">
      <t>スウチ</t>
    </rPh>
    <rPh sb="2" eb="4">
      <t>カンリ</t>
    </rPh>
    <rPh sb="8" eb="11">
      <t>セイキュウショ</t>
    </rPh>
    <rPh sb="11" eb="13">
      <t>ハッコウ</t>
    </rPh>
    <rPh sb="13" eb="14">
      <t>ビ</t>
    </rPh>
    <rPh sb="14" eb="16">
      <t>シュウセイ</t>
    </rPh>
    <phoneticPr fontId="1"/>
  </si>
  <si>
    <t>R7Y10A123</t>
    <phoneticPr fontId="1"/>
  </si>
  <si>
    <t>山口　誠子、大輔</t>
  </si>
  <si>
    <t>R7Y10A125</t>
  </si>
  <si>
    <t>中島　真由美</t>
  </si>
  <si>
    <t>神山　一</t>
  </si>
  <si>
    <t>R7Y08A261</t>
  </si>
  <si>
    <t>R7Y05A254</t>
  </si>
  <si>
    <t>丸山　菜実子</t>
  </si>
  <si>
    <t>井上</t>
  </si>
  <si>
    <t>R7Y03A135</t>
  </si>
  <si>
    <t>神代　明日香</t>
  </si>
  <si>
    <t>R7Y08A004</t>
  </si>
  <si>
    <t>井上　阜　井上　春子</t>
  </si>
  <si>
    <t>R7Y10A157</t>
  </si>
  <si>
    <t>小堀　依子</t>
  </si>
  <si>
    <t>関野　明朗</t>
  </si>
  <si>
    <t>R7Y11A042</t>
  </si>
  <si>
    <t>馬場Ｔ</t>
    <phoneticPr fontId="1"/>
  </si>
  <si>
    <r>
      <rPr>
        <sz val="11"/>
        <color rgb="FF000000"/>
        <rFont val="ＭＳ Ｐゴシック"/>
        <family val="2"/>
        <charset val="128"/>
      </rPr>
      <t>数値管理シートの</t>
    </r>
    <r>
      <rPr>
        <sz val="11"/>
        <color rgb="FF000000"/>
        <rFont val="Segoe UI"/>
        <family val="2"/>
      </rPr>
      <t>1</t>
    </r>
    <r>
      <rPr>
        <sz val="11"/>
        <color rgb="FF000000"/>
        <rFont val="ＭＳ Ｐゴシック"/>
        <family val="2"/>
        <charset val="128"/>
      </rPr>
      <t>回目入金日修正</t>
    </r>
    <r>
      <rPr>
        <sz val="11"/>
        <color rgb="FF000000"/>
        <rFont val="Segoe UI"/>
        <family val="2"/>
      </rPr>
      <t>11/10</t>
    </r>
    <r>
      <rPr>
        <sz val="11"/>
        <color rgb="FF000000"/>
        <rFont val="Segoe UI Symbol"/>
        <family val="2"/>
        <charset val="1"/>
      </rPr>
      <t>→</t>
    </r>
    <r>
      <rPr>
        <sz val="11"/>
        <color rgb="FF000000"/>
        <rFont val="Segoe UI"/>
        <family val="2"/>
      </rPr>
      <t>11/11</t>
    </r>
    <rPh sb="0" eb="2">
      <t>スウチ</t>
    </rPh>
    <rPh sb="2" eb="4">
      <t>カンリ</t>
    </rPh>
    <rPh sb="9" eb="11">
      <t>カイメ</t>
    </rPh>
    <rPh sb="11" eb="13">
      <t>ニュウキン</t>
    </rPh>
    <rPh sb="13" eb="14">
      <t>ビ</t>
    </rPh>
    <rPh sb="14" eb="16">
      <t>シュウセイ</t>
    </rPh>
    <phoneticPr fontId="1"/>
  </si>
  <si>
    <t>R7Y11A440</t>
  </si>
  <si>
    <t>望月　富美代</t>
  </si>
  <si>
    <t>R7Y12A066</t>
  </si>
  <si>
    <t>小野　広</t>
  </si>
  <si>
    <t>R7Y10A097</t>
  </si>
  <si>
    <t>山肩　和子</t>
  </si>
  <si>
    <t>R7Y12A064</t>
  </si>
  <si>
    <t>小野　秀雄</t>
  </si>
  <si>
    <t>R7Y09A334</t>
  </si>
  <si>
    <t>清水　真弥</t>
  </si>
  <si>
    <r>
      <rPr>
        <sz val="11"/>
        <color rgb="FF495057"/>
        <rFont val="ＭＳ Ｐゴシック"/>
        <family val="2"/>
        <charset val="128"/>
      </rPr>
      <t>数値管理シートの実費金額修正（確認済み）</t>
    </r>
    <rPh sb="0" eb="2">
      <t>スウチ</t>
    </rPh>
    <rPh sb="2" eb="4">
      <t>カンリ</t>
    </rPh>
    <rPh sb="8" eb="10">
      <t>ジッピ</t>
    </rPh>
    <rPh sb="10" eb="12">
      <t>キンガク</t>
    </rPh>
    <rPh sb="12" eb="14">
      <t>シュウセイ</t>
    </rPh>
    <rPh sb="15" eb="17">
      <t>カクニン</t>
    </rPh>
    <rPh sb="17" eb="18">
      <t>ズ</t>
    </rPh>
    <phoneticPr fontId="1"/>
  </si>
  <si>
    <t>R7Y10A036</t>
  </si>
  <si>
    <t>下山　孝司</t>
  </si>
  <si>
    <t>現金受け取り</t>
    <rPh sb="0" eb="2">
      <t>ゲンキン</t>
    </rPh>
    <rPh sb="2" eb="3">
      <t>ウ</t>
    </rPh>
    <rPh sb="4" eb="5">
      <t>ト</t>
    </rPh>
    <phoneticPr fontId="1"/>
  </si>
  <si>
    <t>R7Y11B008</t>
  </si>
  <si>
    <t>石川恵子</t>
  </si>
  <si>
    <t>平川</t>
  </si>
  <si>
    <t>R7Y08B036</t>
  </si>
  <si>
    <t>大隅隆行</t>
  </si>
  <si>
    <t>R7Y09B060</t>
  </si>
  <si>
    <t>平野正二</t>
  </si>
  <si>
    <t>R7Y10B021</t>
  </si>
  <si>
    <t>堺　伸子</t>
  </si>
  <si>
    <t>R7Y04B021</t>
  </si>
  <si>
    <t>阿諏訪　由美</t>
  </si>
  <si>
    <t>赤坂</t>
  </si>
  <si>
    <t>R7Y06B078</t>
  </si>
  <si>
    <t>伊藤　惠子</t>
  </si>
  <si>
    <t>R7Y10A164</t>
  </si>
  <si>
    <t>阿部　正美</t>
  </si>
  <si>
    <t>R7Y11A026</t>
  </si>
  <si>
    <t>篠崎　勝</t>
  </si>
  <si>
    <t>R7Y09A347</t>
  </si>
  <si>
    <t>亀井　哲治</t>
  </si>
  <si>
    <t>R7Y04A094</t>
  </si>
  <si>
    <t>R7Y09A327</t>
  </si>
  <si>
    <t>岡部　潤</t>
  </si>
  <si>
    <t>R7Y09A313</t>
  </si>
  <si>
    <t>柴田　ゆみ子</t>
  </si>
  <si>
    <t>近藤</t>
  </si>
  <si>
    <t>R7Y09A384</t>
  </si>
  <si>
    <t>髙橋　清彦</t>
  </si>
  <si>
    <t>R7Y09A374</t>
  </si>
  <si>
    <t>金子　治夫</t>
  </si>
  <si>
    <t>中林</t>
  </si>
  <si>
    <t>河口　克比古</t>
  </si>
  <si>
    <t>藤田(早)</t>
  </si>
  <si>
    <t>R7Y12A083</t>
  </si>
  <si>
    <t>鑓水　弘子</t>
  </si>
  <si>
    <t>R7Y10A154</t>
  </si>
  <si>
    <t>沼井　磨己</t>
  </si>
  <si>
    <t>R7Y07A067</t>
  </si>
  <si>
    <t>小倉　和子</t>
  </si>
  <si>
    <t>故坪内英雄様相続人</t>
    <rPh sb="0" eb="1">
      <t>コ</t>
    </rPh>
    <rPh sb="1" eb="3">
      <t>ツボウチ</t>
    </rPh>
    <rPh sb="3" eb="5">
      <t>ヒデオ</t>
    </rPh>
    <rPh sb="5" eb="6">
      <t>サマ</t>
    </rPh>
    <rPh sb="6" eb="9">
      <t>ソウゾクニン</t>
    </rPh>
    <phoneticPr fontId="1"/>
  </si>
  <si>
    <t>R7Y10A141</t>
  </si>
  <si>
    <t>篠原　惠美子</t>
  </si>
  <si>
    <t>R7Y09A304</t>
  </si>
  <si>
    <t>安齋</t>
  </si>
  <si>
    <t>R7Y07A039</t>
  </si>
  <si>
    <t>入交　洋子</t>
  </si>
  <si>
    <t>R7Y04A125</t>
  </si>
  <si>
    <t>小林　素美</t>
  </si>
  <si>
    <t>R7Y07A060</t>
  </si>
  <si>
    <t>江種　恭行</t>
  </si>
  <si>
    <t>R7Y11A054</t>
  </si>
  <si>
    <t>米山　ひろみ</t>
  </si>
  <si>
    <t>R7Y10A116</t>
  </si>
  <si>
    <t>矢野　千代子</t>
  </si>
  <si>
    <t>R7Y07A124</t>
  </si>
  <si>
    <t>田尻　由美子</t>
  </si>
  <si>
    <t>R7Y11A471</t>
  </si>
  <si>
    <t>吉澤　正美</t>
  </si>
  <si>
    <r>
      <rPr>
        <sz val="11"/>
        <color rgb="FF495057"/>
        <rFont val="ＭＳ Ｐゴシック"/>
        <family val="2"/>
        <charset val="128"/>
      </rPr>
      <t>立替実費明細書の数量修正（</t>
    </r>
    <r>
      <rPr>
        <sz val="11"/>
        <color rgb="FF495057"/>
        <rFont val="Segoe UI"/>
        <family val="2"/>
      </rPr>
      <t>2</t>
    </r>
    <r>
      <rPr>
        <sz val="11"/>
        <color rgb="FF495057"/>
        <rFont val="ＭＳ Ｐゴシック"/>
        <family val="2"/>
        <charset val="128"/>
      </rPr>
      <t>→</t>
    </r>
    <r>
      <rPr>
        <sz val="11"/>
        <color rgb="FF495057"/>
        <rFont val="Segoe UI"/>
        <family val="2"/>
      </rPr>
      <t>3</t>
    </r>
    <r>
      <rPr>
        <sz val="11"/>
        <color rgb="FF495057"/>
        <rFont val="ＭＳ Ｐゴシック"/>
        <family val="2"/>
        <charset val="128"/>
      </rPr>
      <t>）</t>
    </r>
    <rPh sb="0" eb="4">
      <t>タテカエジッピ</t>
    </rPh>
    <rPh sb="4" eb="7">
      <t>メイサイショ</t>
    </rPh>
    <rPh sb="8" eb="10">
      <t>スウリョウ</t>
    </rPh>
    <rPh sb="10" eb="12">
      <t>シュウセイ</t>
    </rPh>
    <phoneticPr fontId="1"/>
  </si>
  <si>
    <t>R7Y10B028</t>
  </si>
  <si>
    <t>我妻　啓子</t>
  </si>
  <si>
    <t>R7Y05B044</t>
  </si>
  <si>
    <t>市山知博</t>
  </si>
  <si>
    <t>R7Y10A129</t>
  </si>
  <si>
    <t>池端　香代子</t>
  </si>
  <si>
    <t>池端　香代子　池端　俊明</t>
  </si>
  <si>
    <t>小長根　和美</t>
  </si>
  <si>
    <t>R7Y07A070</t>
  </si>
  <si>
    <t>島﨑　由紀子</t>
  </si>
  <si>
    <t>R7Y12A013</t>
  </si>
  <si>
    <t>株式会社サーブプロモーション</t>
  </si>
  <si>
    <t>R7Y08A221</t>
  </si>
  <si>
    <t>佐藤　誠</t>
  </si>
  <si>
    <t>R7Y08A223</t>
  </si>
  <si>
    <t>和田　久子</t>
  </si>
  <si>
    <t>八木</t>
  </si>
  <si>
    <t>R7Y11A437</t>
  </si>
  <si>
    <t>塩田　克人</t>
  </si>
  <si>
    <t>R7Y10A083</t>
  </si>
  <si>
    <t>森　恵美子</t>
  </si>
  <si>
    <t>R7Y10A062</t>
  </si>
  <si>
    <t>増田　美幸</t>
  </si>
  <si>
    <t>数値管理、実費未入力</t>
    <rPh sb="0" eb="4">
      <t>スウチカンリ</t>
    </rPh>
    <rPh sb="5" eb="10">
      <t>ジッピミニュウリョク</t>
    </rPh>
    <phoneticPr fontId="1"/>
  </si>
  <si>
    <t>R7Y07A090</t>
  </si>
  <si>
    <t>山田　英司</t>
  </si>
  <si>
    <t>金森</t>
  </si>
  <si>
    <t>R7Y11A490</t>
  </si>
  <si>
    <t>永野　千敏</t>
  </si>
  <si>
    <t>R7Y08B058</t>
  </si>
  <si>
    <t>佐藤　嘉七子</t>
  </si>
  <si>
    <t>R7Y10A060</t>
  </si>
  <si>
    <t>西脇　正浩</t>
  </si>
  <si>
    <t>R7Y12A127</t>
  </si>
  <si>
    <t>鶴田　裕</t>
  </si>
  <si>
    <t>R7Y06A114</t>
  </si>
  <si>
    <t>松嶋　直樹</t>
  </si>
  <si>
    <t>遠藤　崇治</t>
  </si>
  <si>
    <t>宮川</t>
  </si>
  <si>
    <t>R7Y12A131</t>
  </si>
  <si>
    <t>加藤　統虎</t>
  </si>
  <si>
    <t>R7Y12A130</t>
  </si>
  <si>
    <t>齋藤　直子</t>
  </si>
  <si>
    <t>山﨑　すみ子</t>
  </si>
  <si>
    <t>R7Y10A057</t>
  </si>
  <si>
    <t>R7Y12A019</t>
  </si>
  <si>
    <t>嶺　千秋</t>
  </si>
  <si>
    <t>R7Y11A438</t>
  </si>
  <si>
    <t>山口　達哉</t>
  </si>
  <si>
    <t>伊藤　智子</t>
  </si>
  <si>
    <t>R7Y11A045</t>
    <phoneticPr fontId="1"/>
  </si>
  <si>
    <t>庄司　律子</t>
    <phoneticPr fontId="1"/>
  </si>
  <si>
    <t>八尾　憲治</t>
  </si>
  <si>
    <t>R7Y10A131</t>
    <phoneticPr fontId="1"/>
  </si>
  <si>
    <t>R7Y07B001</t>
    <phoneticPr fontId="1"/>
  </si>
  <si>
    <t>R7Y11B005</t>
  </si>
  <si>
    <t>小山　勝城</t>
  </si>
  <si>
    <t>沢田　しげ</t>
  </si>
  <si>
    <t>R7Y11B015</t>
  </si>
  <si>
    <t>福田　しのぶ</t>
  </si>
  <si>
    <t>R7Y07A035</t>
  </si>
  <si>
    <t>R7Y10B011</t>
  </si>
  <si>
    <t>長田　久美子</t>
    <phoneticPr fontId="1"/>
  </si>
  <si>
    <t>R7Y11B010</t>
  </si>
  <si>
    <t>高田　弥生</t>
  </si>
  <si>
    <t>新井・入江・森谷T</t>
  </si>
  <si>
    <t>R7Y10A099</t>
  </si>
  <si>
    <t>肥田　恒行</t>
  </si>
  <si>
    <t>池添</t>
  </si>
  <si>
    <t>未入金</t>
    <rPh sb="0" eb="3">
      <t>ミニュウキン</t>
    </rPh>
    <phoneticPr fontId="1"/>
  </si>
  <si>
    <t>田村　公一</t>
  </si>
  <si>
    <t>R7Y02A174</t>
    <phoneticPr fontId="1"/>
  </si>
  <si>
    <t>R7Y02A175</t>
    <phoneticPr fontId="1"/>
  </si>
  <si>
    <t>R7Y02B022</t>
  </si>
  <si>
    <t>元山千春</t>
  </si>
  <si>
    <r>
      <t>株式会社</t>
    </r>
    <r>
      <rPr>
        <sz val="10"/>
        <color theme="1"/>
        <rFont val="Arial"/>
        <family val="2"/>
      </rPr>
      <t>WAKUWAKU</t>
    </r>
    <phoneticPr fontId="1"/>
  </si>
  <si>
    <t>不使用</t>
  </si>
  <si>
    <t>R7Y12B031</t>
    <phoneticPr fontId="1"/>
  </si>
  <si>
    <t>R7Y10B064</t>
    <phoneticPr fontId="1"/>
  </si>
  <si>
    <t>R7Y06A102</t>
  </si>
  <si>
    <t>和山　利惠子</t>
  </si>
  <si>
    <t>R7Y10B065</t>
    <phoneticPr fontId="1"/>
  </si>
  <si>
    <t>野口旭</t>
  </si>
  <si>
    <t>根本</t>
  </si>
  <si>
    <t>R7Y10B090</t>
  </si>
  <si>
    <t>伊藤　裕</t>
    <rPh sb="3" eb="4">
      <t>ユウ</t>
    </rPh>
    <phoneticPr fontId="1"/>
  </si>
  <si>
    <t>R7Y08A203</t>
    <phoneticPr fontId="1"/>
  </si>
  <si>
    <t>R7Y12A001</t>
    <phoneticPr fontId="1"/>
  </si>
  <si>
    <t>杉山　敏朗</t>
  </si>
  <si>
    <t>12A015</t>
  </si>
  <si>
    <t>R7,11⇒R7.12計上へ</t>
    <rPh sb="11" eb="13">
      <t>ケイジョウ</t>
    </rPh>
    <phoneticPr fontId="1"/>
  </si>
  <si>
    <t>R7,10→R7,12月計上</t>
    <rPh sb="11" eb="12">
      <t>ガツ</t>
    </rPh>
    <rPh sb="12" eb="14">
      <t>ケイジョウ</t>
    </rPh>
    <phoneticPr fontId="1"/>
  </si>
  <si>
    <t>渡邊　大輔</t>
    <phoneticPr fontId="1"/>
  </si>
  <si>
    <t>橋本　廣子</t>
    <phoneticPr fontId="1"/>
  </si>
  <si>
    <t>尾川　善美</t>
    <phoneticPr fontId="1"/>
  </si>
  <si>
    <t>倉林　友美</t>
    <phoneticPr fontId="1"/>
  </si>
  <si>
    <t>鈴木　由美子</t>
    <phoneticPr fontId="1"/>
  </si>
  <si>
    <r>
      <t xml:space="preserve">	</t>
    </r>
    <r>
      <rPr>
        <sz val="10"/>
        <color theme="1"/>
        <rFont val="ＭＳ Ｐゴシック"/>
        <family val="2"/>
        <charset val="128"/>
      </rPr>
      <t>水木　千惠子</t>
    </r>
    <phoneticPr fontId="1"/>
  </si>
  <si>
    <t>猪股　重雄</t>
    <phoneticPr fontId="1"/>
  </si>
  <si>
    <t>松井　進矢</t>
    <phoneticPr fontId="1"/>
  </si>
  <si>
    <t>R7F06A035</t>
    <phoneticPr fontId="1"/>
  </si>
  <si>
    <t>R7F09A303</t>
    <phoneticPr fontId="1"/>
  </si>
  <si>
    <t>R7F09A330</t>
    <phoneticPr fontId="1"/>
  </si>
  <si>
    <t>R7F07A012</t>
    <phoneticPr fontId="1"/>
  </si>
  <si>
    <t>R7F09A302</t>
    <phoneticPr fontId="1"/>
  </si>
  <si>
    <t>R7F09A349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</si>
</sst>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\(#,###\)"/>
    <numFmt numFmtId="178" formatCode="m&quot;月&quot;d&quot;日&quot;;@"/>
  </numFmts>
  <fonts count="3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6"/>
      <color rgb="FFFF0000"/>
      <name val="ＭＳ Ｐゴシック"/>
      <family val="2"/>
      <charset val="128"/>
      <scheme val="minor"/>
    </font>
    <font>
      <sz val="16"/>
      <color rgb="FFFF0000"/>
      <name val="ＭＳ Ｐゴシック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color theme="1"/>
      <name val="Arial"/>
      <family val="2"/>
    </font>
    <font>
      <b/>
      <sz val="14"/>
      <color theme="1"/>
      <name val="ＭＳ Ｐゴシック"/>
      <family val="3"/>
      <charset val="128"/>
      <scheme val="minor"/>
    </font>
    <font>
      <sz val="11"/>
      <color rgb="FF495057"/>
      <name val="Segoe UI"/>
      <family val="2"/>
    </font>
    <font>
      <sz val="10"/>
      <color theme="1"/>
      <name val="ＭＳ Ｐゴシック"/>
      <family val="2"/>
      <charset val="128"/>
    </font>
    <font>
      <sz val="10"/>
      <color theme="1"/>
      <name val="Arial"/>
      <family val="2"/>
      <charset val="128"/>
    </font>
    <font>
      <sz val="10"/>
      <color theme="1"/>
      <name val="游ゴシック"/>
      <family val="2"/>
      <charset val="128"/>
    </font>
    <font>
      <sz val="11"/>
      <color rgb="FF495057"/>
      <name val="ＭＳ Ｐゴシック"/>
      <family val="2"/>
      <charset val="128"/>
    </font>
    <font>
      <sz val="11"/>
      <color rgb="FF495057"/>
      <name val="Segoe UI"/>
      <family val="2"/>
      <charset val="128"/>
    </font>
    <font>
      <sz val="11"/>
      <color rgb="FF000000"/>
      <name val="Segoe UI"/>
      <family val="2"/>
    </font>
    <font>
      <sz val="9"/>
      <color theme="1"/>
      <name val="Arial"/>
      <family val="2"/>
    </font>
    <font>
      <sz val="10"/>
      <color theme="1"/>
      <name val="ＭＳ ゴシック"/>
      <family val="3"/>
      <charset val="128"/>
    </font>
    <font>
      <sz val="9"/>
      <color theme="1"/>
      <name val="Arial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游ゴシック"/>
      <family val="2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Segoe UI"/>
      <family val="2"/>
      <charset val="128"/>
    </font>
    <font>
      <sz val="11"/>
      <color rgb="FF000000"/>
      <name val="Segoe UI Symbol"/>
      <family val="2"/>
      <charset val="1"/>
    </font>
    <font>
      <sz val="10"/>
      <color rgb="FF495057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z val="11"/>
      <color rgb="FF495057"/>
      <name val="ＭＳ Ｐゴシック"/>
      <family val="3"/>
      <charset val="128"/>
      <scheme val="minor"/>
    </font>
    <font>
      <sz val="10"/>
      <color rgb="FF000000"/>
      <name val="ＭＳ Ｐゴシック"/>
      <family val="3"/>
      <charset val="128"/>
      <scheme val="minor"/>
    </font>
    <font>
      <sz val="10"/>
      <color rgb="FF495057"/>
      <name val="Segoe UI"/>
      <family val="2"/>
    </font>
    <font>
      <sz val="10"/>
      <color rgb="FF000000"/>
      <name val="Segoe UI"/>
      <family val="2"/>
    </font>
    <font>
      <sz val="10"/>
      <color theme="1"/>
      <name val="ＭＳ Ｐゴシック"/>
      <family val="3"/>
      <charset val="128"/>
      <scheme val="major"/>
    </font>
    <font>
      <sz val="11"/>
      <color rgb="FF495057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EFF0F2"/>
      </right>
      <top style="medium">
        <color rgb="FFEFF0F2"/>
      </top>
      <bottom style="medium">
        <color rgb="FFEFF0F2"/>
      </bottom>
      <diagonal/>
    </border>
    <border>
      <left style="medium">
        <color rgb="FF000000"/>
      </left>
      <right style="medium">
        <color rgb="FF000000"/>
      </right>
      <top style="medium">
        <color rgb="FFEFF0F2"/>
      </top>
      <bottom style="medium">
        <color rgb="FFEFF0F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EFF0F2"/>
      </top>
      <bottom style="medium">
        <color rgb="FFEFF0F2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EFF0F2"/>
      </left>
      <right style="medium">
        <color rgb="FF000000"/>
      </right>
      <top style="medium">
        <color rgb="FFEFF0F2"/>
      </top>
      <bottom style="medium">
        <color rgb="FFEFF0F2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177" fontId="3" fillId="3" borderId="1" xfId="0" applyNumberFormat="1" applyFont="1" applyFill="1" applyBorder="1">
      <alignment vertical="center"/>
    </xf>
    <xf numFmtId="176" fontId="3" fillId="3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176" fontId="3" fillId="4" borderId="1" xfId="0" applyNumberFormat="1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176" fontId="3" fillId="0" borderId="6" xfId="0" applyNumberFormat="1" applyFont="1" applyBorder="1">
      <alignment vertical="center"/>
    </xf>
    <xf numFmtId="177" fontId="3" fillId="5" borderId="1" xfId="0" applyNumberFormat="1" applyFont="1" applyFill="1" applyBorder="1">
      <alignment vertical="center"/>
    </xf>
    <xf numFmtId="176" fontId="3" fillId="0" borderId="3" xfId="0" applyNumberFormat="1" applyFont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77" fontId="3" fillId="0" borderId="4" xfId="0" applyNumberFormat="1" applyFont="1" applyBorder="1">
      <alignment vertical="center"/>
    </xf>
    <xf numFmtId="176" fontId="3" fillId="0" borderId="4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4" xfId="0" applyBorder="1">
      <alignment vertical="center"/>
    </xf>
    <xf numFmtId="14" fontId="10" fillId="0" borderId="1" xfId="0" applyNumberFormat="1" applyFont="1" applyBorder="1">
      <alignment vertical="center"/>
    </xf>
    <xf numFmtId="0" fontId="0" fillId="0" borderId="1" xfId="0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176" fontId="3" fillId="3" borderId="6" xfId="0" applyNumberFormat="1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56" fontId="0" fillId="0" borderId="0" xfId="0" applyNumberFormat="1">
      <alignment vertical="center"/>
    </xf>
    <xf numFmtId="0" fontId="12" fillId="6" borderId="22" xfId="0" applyFont="1" applyFill="1" applyBorder="1">
      <alignment vertical="center"/>
    </xf>
    <xf numFmtId="0" fontId="12" fillId="6" borderId="23" xfId="0" applyFont="1" applyFill="1" applyBorder="1">
      <alignment vertical="center"/>
    </xf>
    <xf numFmtId="0" fontId="14" fillId="0" borderId="16" xfId="0" applyFont="1" applyBorder="1" applyAlignment="1">
      <alignment horizontal="center" vertical="center" wrapText="1"/>
    </xf>
    <xf numFmtId="176" fontId="3" fillId="0" borderId="2" xfId="0" applyNumberFormat="1" applyFont="1" applyBorder="1">
      <alignment vertical="center"/>
    </xf>
    <xf numFmtId="176" fontId="3" fillId="0" borderId="24" xfId="0" applyNumberFormat="1" applyFont="1" applyBorder="1">
      <alignment vertical="center"/>
    </xf>
    <xf numFmtId="176" fontId="3" fillId="0" borderId="25" xfId="0" applyNumberFormat="1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2" fillId="6" borderId="27" xfId="0" applyFont="1" applyFill="1" applyBorder="1">
      <alignment vertical="center"/>
    </xf>
    <xf numFmtId="176" fontId="3" fillId="0" borderId="28" xfId="0" applyNumberFormat="1" applyFont="1" applyBorder="1">
      <alignment vertical="center"/>
    </xf>
    <xf numFmtId="0" fontId="0" fillId="4" borderId="5" xfId="0" applyFill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0" fontId="12" fillId="6" borderId="30" xfId="0" applyFont="1" applyFill="1" applyBorder="1">
      <alignment vertical="center"/>
    </xf>
    <xf numFmtId="0" fontId="13" fillId="0" borderId="1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6" borderId="0" xfId="0" applyFont="1" applyFill="1">
      <alignment vertical="center"/>
    </xf>
    <xf numFmtId="0" fontId="13" fillId="0" borderId="1" xfId="0" applyFont="1" applyBorder="1" applyAlignment="1">
      <alignment horizontal="center" vertical="center" wrapText="1"/>
    </xf>
    <xf numFmtId="0" fontId="10" fillId="6" borderId="31" xfId="0" applyFont="1" applyFill="1" applyBorder="1" applyAlignment="1">
      <alignment wrapText="1"/>
    </xf>
    <xf numFmtId="0" fontId="10" fillId="6" borderId="32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56" fontId="0" fillId="4" borderId="1" xfId="0" applyNumberFormat="1" applyFill="1" applyBorder="1">
      <alignment vertical="center"/>
    </xf>
    <xf numFmtId="0" fontId="16" fillId="6" borderId="22" xfId="0" applyFont="1" applyFill="1" applyBorder="1">
      <alignment vertical="center"/>
    </xf>
    <xf numFmtId="0" fontId="18" fillId="7" borderId="30" xfId="0" applyFont="1" applyFill="1" applyBorder="1">
      <alignment vertical="center"/>
    </xf>
    <xf numFmtId="0" fontId="18" fillId="7" borderId="23" xfId="0" applyFont="1" applyFill="1" applyBorder="1">
      <alignment vertical="center"/>
    </xf>
    <xf numFmtId="0" fontId="18" fillId="7" borderId="22" xfId="0" applyFont="1" applyFill="1" applyBorder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177" fontId="3" fillId="4" borderId="1" xfId="0" applyNumberFormat="1" applyFont="1" applyFill="1" applyBorder="1">
      <alignment vertical="center"/>
    </xf>
    <xf numFmtId="0" fontId="15" fillId="0" borderId="16" xfId="0" applyFont="1" applyBorder="1" applyAlignment="1">
      <alignment horizontal="center" vertical="center" wrapText="1"/>
    </xf>
    <xf numFmtId="0" fontId="25" fillId="7" borderId="30" xfId="0" applyFont="1" applyFill="1" applyBorder="1">
      <alignment vertical="center"/>
    </xf>
    <xf numFmtId="0" fontId="26" fillId="0" borderId="0" xfId="0" applyFont="1">
      <alignment vertical="center"/>
    </xf>
    <xf numFmtId="56" fontId="0" fillId="0" borderId="1" xfId="0" applyNumberFormat="1" applyBorder="1">
      <alignment vertical="center"/>
    </xf>
    <xf numFmtId="0" fontId="12" fillId="0" borderId="30" xfId="0" applyFont="1" applyBorder="1">
      <alignment vertical="center"/>
    </xf>
    <xf numFmtId="0" fontId="12" fillId="0" borderId="22" xfId="0" applyFont="1" applyBorder="1">
      <alignment vertical="center"/>
    </xf>
    <xf numFmtId="0" fontId="12" fillId="6" borderId="1" xfId="0" applyFont="1" applyFill="1" applyBorder="1">
      <alignment vertical="center"/>
    </xf>
    <xf numFmtId="0" fontId="18" fillId="7" borderId="1" xfId="0" applyFont="1" applyFill="1" applyBorder="1">
      <alignment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 shrinkToFit="1"/>
    </xf>
    <xf numFmtId="0" fontId="28" fillId="0" borderId="1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0" fontId="28" fillId="6" borderId="1" xfId="0" applyFont="1" applyFill="1" applyBorder="1" applyAlignment="1">
      <alignment horizontal="right" vertical="center"/>
    </xf>
    <xf numFmtId="0" fontId="18" fillId="4" borderId="23" xfId="0" applyFont="1" applyFill="1" applyBorder="1">
      <alignment vertical="center"/>
    </xf>
    <xf numFmtId="0" fontId="18" fillId="4" borderId="22" xfId="0" applyFont="1" applyFill="1" applyBorder="1">
      <alignment vertical="center"/>
    </xf>
    <xf numFmtId="0" fontId="18" fillId="4" borderId="27" xfId="0" applyFont="1" applyFill="1" applyBorder="1">
      <alignment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78" fontId="3" fillId="0" borderId="1" xfId="0" applyNumberFormat="1" applyFont="1" applyBorder="1">
      <alignment vertical="center"/>
    </xf>
    <xf numFmtId="56" fontId="2" fillId="0" borderId="1" xfId="0" applyNumberFormat="1" applyFont="1" applyBorder="1" applyAlignment="1">
      <alignment horizontal="center" vertical="center"/>
    </xf>
    <xf numFmtId="176" fontId="3" fillId="0" borderId="35" xfId="0" applyNumberFormat="1" applyFont="1" applyBorder="1">
      <alignment vertical="center"/>
    </xf>
    <xf numFmtId="0" fontId="32" fillId="6" borderId="1" xfId="0" applyFont="1" applyFill="1" applyBorder="1" applyAlignment="1">
      <alignment horizontal="center" vertical="center"/>
    </xf>
    <xf numFmtId="178" fontId="3" fillId="0" borderId="33" xfId="0" applyNumberFormat="1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176" fontId="3" fillId="0" borderId="21" xfId="0" applyNumberFormat="1" applyFont="1" applyBorder="1">
      <alignment vertical="center"/>
    </xf>
    <xf numFmtId="177" fontId="3" fillId="0" borderId="3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8" fillId="7" borderId="27" xfId="0" applyFont="1" applyFill="1" applyBorder="1">
      <alignment vertical="center"/>
    </xf>
    <xf numFmtId="0" fontId="35" fillId="0" borderId="1" xfId="0" applyFont="1" applyBorder="1" applyAlignment="1">
      <alignment horizontal="center" vertical="center"/>
    </xf>
    <xf numFmtId="176" fontId="9" fillId="0" borderId="1" xfId="0" applyNumberFormat="1" applyFont="1" applyBorder="1">
      <alignment vertical="center"/>
    </xf>
    <xf numFmtId="178" fontId="3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right" vertical="center"/>
    </xf>
    <xf numFmtId="0" fontId="12" fillId="4" borderId="27" xfId="0" applyFont="1" applyFill="1" applyBorder="1">
      <alignment vertical="center"/>
    </xf>
    <xf numFmtId="0" fontId="12" fillId="4" borderId="23" xfId="0" applyFont="1" applyFill="1" applyBorder="1">
      <alignment vertical="center"/>
    </xf>
    <xf numFmtId="0" fontId="12" fillId="4" borderId="22" xfId="0" applyFont="1" applyFill="1" applyBorder="1">
      <alignment vertical="center"/>
    </xf>
    <xf numFmtId="0" fontId="12" fillId="4" borderId="30" xfId="0" applyFont="1" applyFill="1" applyBorder="1">
      <alignment vertical="center"/>
    </xf>
    <xf numFmtId="0" fontId="28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56" fontId="28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>
      <alignment vertical="center"/>
    </xf>
    <xf numFmtId="56" fontId="0" fillId="4" borderId="0" xfId="0" applyNumberFormat="1" applyFill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CC"/>
      <color rgb="FFE1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95250</xdr:colOff>
      <xdr:row>27</xdr:row>
      <xdr:rowOff>142874</xdr:rowOff>
    </xdr:from>
    <xdr:to>
      <xdr:col>33</xdr:col>
      <xdr:colOff>685799</xdr:colOff>
      <xdr:row>44</xdr:row>
      <xdr:rowOff>123824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0FDE578-0449-4D5F-B8AE-B631B5EEFCB3}"/>
            </a:ext>
          </a:extLst>
        </xdr:cNvPr>
        <xdr:cNvSpPr/>
      </xdr:nvSpPr>
      <xdr:spPr>
        <a:xfrm>
          <a:off x="21688425" y="6076949"/>
          <a:ext cx="6076949" cy="33813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☆売上表不備リスト</a:t>
          </a:r>
          <a:r>
            <a:rPr lang="ja-JP" altLang="en-US" sz="1400" b="1">
              <a:effectLst/>
            </a:rPr>
            <a:t> </a:t>
          </a:r>
          <a:endParaRPr lang="en-US" altLang="ja-JP" sz="1400" b="1">
            <a:effectLst/>
          </a:endParaRPr>
        </a:p>
        <a:p>
          <a:pPr algn="l"/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・請求書の発行日が一週間以上前のもの</a:t>
          </a:r>
          <a:endParaRPr lang="en-US" altLang="ja-JP" sz="1400" b="1" i="0" u="none" strike="noStrike">
            <a:solidFill>
              <a:srgbClr val="000000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lang="ja-JP" altLang="en-US" sz="1400" b="1">
              <a:effectLst/>
            </a:rPr>
            <a:t> </a:t>
          </a:r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・インボイス番号の記載なし</a:t>
          </a:r>
          <a:r>
            <a:rPr lang="en-US" altLang="ja-JP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/</a:t>
          </a:r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インボイス番号が異なる法人になっている</a:t>
          </a:r>
          <a:r>
            <a:rPr lang="ja-JP" altLang="en-US" sz="1400" b="1">
              <a:effectLst/>
            </a:rPr>
            <a:t> </a:t>
          </a:r>
          <a:endParaRPr lang="en-US" altLang="ja-JP" sz="1400" b="1">
            <a:effectLst/>
          </a:endParaRPr>
        </a:p>
        <a:p>
          <a:pPr algn="l"/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・数値管理シートと金額が相違している</a:t>
          </a:r>
          <a:r>
            <a:rPr lang="en-US" altLang="ja-JP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/</a:t>
          </a:r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反映がない</a:t>
          </a:r>
          <a:r>
            <a:rPr lang="en-US" altLang="ja-JP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修正点を記入）</a:t>
          </a:r>
          <a:endParaRPr lang="en-US" altLang="ja-JP" sz="1400" b="1" i="0" u="none" strike="noStrike">
            <a:solidFill>
              <a:srgbClr val="000000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　例：実費　</a:t>
          </a:r>
          <a:r>
            <a:rPr lang="en-US" altLang="ja-JP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550</a:t>
          </a:r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円➡</a:t>
          </a:r>
          <a:r>
            <a:rPr lang="en-US" altLang="ja-JP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250</a:t>
          </a:r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円　変更</a:t>
          </a:r>
          <a:endParaRPr lang="en-US" altLang="ja-JP" sz="1400" b="1" i="0" u="none" strike="noStrike">
            <a:solidFill>
              <a:srgbClr val="000000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・数値管理シートの入力日の入れ忘れ</a:t>
          </a:r>
          <a:r>
            <a:rPr lang="en-US" altLang="ja-JP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/</a:t>
          </a:r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間違え</a:t>
          </a:r>
          <a:endParaRPr lang="en-US" altLang="ja-JP" sz="1400" b="1" i="0" u="none" strike="noStrike">
            <a:solidFill>
              <a:srgbClr val="000000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lang="ja-JP" altLang="en-US" sz="1400" b="1">
              <a:effectLst/>
            </a:rPr>
            <a:t> </a:t>
          </a:r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・立替実費の課税、非課税の内容の誤り</a:t>
          </a:r>
          <a:r>
            <a:rPr lang="ja-JP" altLang="en-US" sz="1400" b="1">
              <a:effectLst/>
            </a:rPr>
            <a:t> </a:t>
          </a:r>
          <a:endParaRPr lang="en-US" altLang="ja-JP" sz="1400" b="1">
            <a:effectLst/>
          </a:endParaRPr>
        </a:p>
        <a:p>
          <a:pPr algn="l"/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・立替実費の金額が相違している</a:t>
          </a:r>
          <a:r>
            <a:rPr lang="ja-JP" altLang="en-US" sz="1400" b="1">
              <a:effectLst/>
            </a:rPr>
            <a:t> </a:t>
          </a:r>
          <a:endParaRPr lang="en-US" altLang="ja-JP" sz="1400" b="1">
            <a:effectLst/>
          </a:endParaRPr>
        </a:p>
        <a:p>
          <a:pPr algn="l"/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・振込口座情報記入無し</a:t>
          </a:r>
          <a:r>
            <a:rPr lang="ja-JP" altLang="en-US" sz="1400" b="1">
              <a:effectLst/>
            </a:rPr>
            <a:t> </a:t>
          </a:r>
          <a:endParaRPr lang="en-US" altLang="ja-JP" sz="1400" b="1">
            <a:effectLst/>
          </a:endParaRPr>
        </a:p>
        <a:p>
          <a:pPr algn="l"/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・案件番号の記載なし</a:t>
          </a:r>
          <a:r>
            <a:rPr lang="en-US" altLang="ja-JP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/</a:t>
          </a:r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間違い</a:t>
          </a:r>
          <a:r>
            <a:rPr lang="ja-JP" altLang="en-US" sz="1400" b="1">
              <a:effectLst/>
            </a:rPr>
            <a:t> </a:t>
          </a:r>
          <a:endParaRPr lang="en-US" altLang="ja-JP" sz="1400" b="1">
            <a:effectLst/>
          </a:endParaRPr>
        </a:p>
        <a:p>
          <a:pPr algn="l"/>
          <a:r>
            <a:rPr lang="ja-JP" altLang="en-US" sz="1400" b="1" i="0" u="none" strike="noStrike">
              <a:solidFill>
                <a:srgbClr val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</a:rPr>
            <a:t>・確定請求書にて、前受け金の受領日付が漏れている</a:t>
          </a:r>
          <a:endParaRPr lang="en-US" altLang="ja-JP" sz="1400" b="1" i="0" u="none" strike="noStrike">
            <a:solidFill>
              <a:srgbClr val="000000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8</xdr:col>
      <xdr:colOff>400050</xdr:colOff>
      <xdr:row>103</xdr:row>
      <xdr:rowOff>209550</xdr:rowOff>
    </xdr:from>
    <xdr:to>
      <xdr:col>14</xdr:col>
      <xdr:colOff>695325</xdr:colOff>
      <xdr:row>109</xdr:row>
      <xdr:rowOff>47625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F0BDA5F4-DAC8-1CC9-5CD4-7B5B4A9A7574}"/>
            </a:ext>
          </a:extLst>
        </xdr:cNvPr>
        <xdr:cNvSpPr/>
      </xdr:nvSpPr>
      <xdr:spPr>
        <a:xfrm>
          <a:off x="7058025" y="22250400"/>
          <a:ext cx="4991100" cy="1066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kumimoji="1" lang="ja-JP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チェック完了</a:t>
          </a:r>
          <a:endParaRPr lang="ja-JP" altLang="ja-JP" sz="2000">
            <a:effectLst/>
          </a:endParaRPr>
        </a:p>
        <a:p>
          <a:r>
            <a:rPr kumimoji="1" lang="en-US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kumimoji="1" lang="ja-JP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月発行分は</a:t>
          </a:r>
          <a:r>
            <a:rPr kumimoji="1" lang="en-US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月へ他月計上してください。</a:t>
          </a:r>
          <a:endParaRPr lang="ja-JP" altLang="ja-JP" sz="2000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29</xdr:row>
      <xdr:rowOff>161925</xdr:rowOff>
    </xdr:from>
    <xdr:to>
      <xdr:col>13</xdr:col>
      <xdr:colOff>561975</xdr:colOff>
      <xdr:row>34</xdr:row>
      <xdr:rowOff>28575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78536743-878A-435E-9BB0-8A2EF3E651B0}"/>
            </a:ext>
          </a:extLst>
        </xdr:cNvPr>
        <xdr:cNvSpPr/>
      </xdr:nvSpPr>
      <xdr:spPr>
        <a:xfrm>
          <a:off x="5572125" y="7000875"/>
          <a:ext cx="4991100" cy="1066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kumimoji="1" lang="ja-JP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チェック完了</a:t>
          </a:r>
          <a:endParaRPr lang="ja-JP" altLang="ja-JP" sz="2000">
            <a:effectLst/>
          </a:endParaRPr>
        </a:p>
        <a:p>
          <a:r>
            <a:rPr kumimoji="1" lang="en-US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kumimoji="1" lang="ja-JP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月発行分は</a:t>
          </a:r>
          <a:r>
            <a:rPr kumimoji="1" lang="en-US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月へ他月計上してください。</a:t>
          </a:r>
          <a:endParaRPr lang="ja-JP" altLang="ja-JP" sz="2000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W131"/>
  <sheetViews>
    <sheetView tabSelected="1" workbookViewId="0">
      <pane ySplit="4" topLeftCell="A99" activePane="bottomLeft" state="frozen"/>
      <selection activeCell="M24" sqref="M24"/>
      <selection pane="bottomLeft" activeCell="J115" sqref="J115"/>
    </sheetView>
  </sheetViews>
  <sheetFormatPr defaultRowHeight="13" x14ac:dyDescent="0.2"/>
  <cols>
    <col min="1" max="1" width="12.453125" customWidth="1"/>
    <col min="2" max="2" width="6.26953125" style="1" customWidth="1"/>
    <col min="3" max="3" width="8.7265625" style="1" customWidth="1"/>
    <col min="4" max="4" width="11.453125" style="1" bestFit="1" customWidth="1"/>
    <col min="5" max="5" width="16" bestFit="1" customWidth="1"/>
    <col min="6" max="6" width="12.08984375" bestFit="1" customWidth="1"/>
    <col min="7" max="7" width="11.26953125" bestFit="1" customWidth="1"/>
    <col min="9" max="9" width="11.08984375" customWidth="1"/>
    <col min="11" max="11" width="9.6328125" bestFit="1" customWidth="1"/>
    <col min="12" max="12" width="9.6328125" customWidth="1"/>
    <col min="13" max="14" width="11.08984375" customWidth="1"/>
    <col min="15" max="15" width="13" customWidth="1"/>
    <col min="16" max="16" width="14.08984375" customWidth="1"/>
    <col min="17" max="17" width="15.453125" customWidth="1"/>
    <col min="18" max="18" width="10.90625" customWidth="1"/>
    <col min="19" max="19" width="26.90625" customWidth="1"/>
    <col min="24" max="24" width="45.08984375" customWidth="1"/>
  </cols>
  <sheetData>
    <row r="1" spans="1:23" ht="13.5" customHeight="1" x14ac:dyDescent="0.2">
      <c r="A1" t="s">
        <v>27</v>
      </c>
      <c r="H1" s="149" t="s">
        <v>13</v>
      </c>
      <c r="I1" s="150"/>
      <c r="J1" s="150"/>
      <c r="K1" s="151"/>
      <c r="L1" s="21"/>
      <c r="M1" s="21"/>
      <c r="N1" s="21"/>
    </row>
    <row r="2" spans="1:23" ht="14.25" customHeight="1" thickBot="1" x14ac:dyDescent="0.25">
      <c r="H2" s="152"/>
      <c r="I2" s="153"/>
      <c r="J2" s="153"/>
      <c r="K2" s="154"/>
      <c r="L2" s="21"/>
      <c r="M2" s="21"/>
      <c r="N2" s="21" t="s">
        <v>25</v>
      </c>
    </row>
    <row r="3" spans="1:23" ht="18.75" customHeight="1" x14ac:dyDescent="0.2">
      <c r="B3" s="130"/>
      <c r="C3" s="133" t="s">
        <v>26</v>
      </c>
      <c r="D3" s="125" t="s">
        <v>11</v>
      </c>
      <c r="E3" s="133" t="s">
        <v>0</v>
      </c>
      <c r="F3" s="135" t="s">
        <v>1</v>
      </c>
      <c r="G3" s="136"/>
      <c r="H3" s="143" t="s">
        <v>2</v>
      </c>
      <c r="I3" s="144"/>
      <c r="J3" s="144"/>
      <c r="K3" s="145"/>
      <c r="L3" s="136" t="s">
        <v>15</v>
      </c>
      <c r="M3" s="136"/>
      <c r="N3" s="136"/>
      <c r="O3" s="133" t="s">
        <v>9</v>
      </c>
      <c r="P3" s="133" t="s">
        <v>3</v>
      </c>
      <c r="Q3" s="125" t="s">
        <v>18</v>
      </c>
      <c r="R3" s="133" t="s">
        <v>20</v>
      </c>
      <c r="S3" s="125" t="s">
        <v>12</v>
      </c>
    </row>
    <row r="4" spans="1:23" ht="27" customHeight="1" x14ac:dyDescent="0.2">
      <c r="B4" s="131"/>
      <c r="C4" s="146"/>
      <c r="D4" s="126"/>
      <c r="E4" s="126"/>
      <c r="F4" s="31" t="s">
        <v>10</v>
      </c>
      <c r="G4" s="15" t="s">
        <v>4</v>
      </c>
      <c r="H4" s="15" t="s">
        <v>6</v>
      </c>
      <c r="I4" s="15" t="s">
        <v>7</v>
      </c>
      <c r="J4" s="15" t="s">
        <v>4</v>
      </c>
      <c r="K4" s="15" t="s">
        <v>5</v>
      </c>
      <c r="L4" s="22" t="s">
        <v>16</v>
      </c>
      <c r="M4" s="22" t="s">
        <v>17</v>
      </c>
      <c r="N4" s="22" t="s">
        <v>19</v>
      </c>
      <c r="O4" s="146"/>
      <c r="P4" s="126"/>
      <c r="Q4" s="126"/>
      <c r="R4" s="126"/>
      <c r="S4" s="126"/>
      <c r="T4" s="30" t="s">
        <v>21</v>
      </c>
      <c r="U4" s="30" t="s">
        <v>22</v>
      </c>
      <c r="V4" s="30" t="s">
        <v>23</v>
      </c>
      <c r="W4" s="30" t="s">
        <v>24</v>
      </c>
    </row>
    <row r="5" spans="1:23" ht="17" thickBot="1" x14ac:dyDescent="0.25">
      <c r="A5" s="34">
        <v>45992</v>
      </c>
      <c r="B5" s="124">
        <v>1</v>
      </c>
      <c r="C5" s="33">
        <v>45992</v>
      </c>
      <c r="D5" s="41" t="s">
        <v>368</v>
      </c>
      <c r="E5" s="19" t="s">
        <v>28</v>
      </c>
      <c r="F5" s="3">
        <v>11000</v>
      </c>
      <c r="G5" s="5">
        <f t="shared" ref="G5:G36" si="0">ROUNDDOWN(F5/1.1*0.1,1)</f>
        <v>1000</v>
      </c>
      <c r="H5" s="3">
        <v>0</v>
      </c>
      <c r="I5" s="3">
        <v>0</v>
      </c>
      <c r="J5" s="5">
        <f t="shared" ref="J5:J34" si="1">ROUNDDOWN(I5/1.1*0.1,1)</f>
        <v>0</v>
      </c>
      <c r="K5" s="3">
        <f t="shared" ref="K5:K36" si="2">H5+I5</f>
        <v>0</v>
      </c>
      <c r="L5" s="3">
        <v>0</v>
      </c>
      <c r="M5" s="3">
        <v>0</v>
      </c>
      <c r="N5" s="3">
        <f t="shared" ref="N5:N36" si="3">L5+M5</f>
        <v>0</v>
      </c>
      <c r="O5" s="3">
        <f t="shared" ref="O5:O36" si="4">F5+K5</f>
        <v>11000</v>
      </c>
      <c r="P5" s="3">
        <v>11000</v>
      </c>
      <c r="Q5" s="14">
        <f t="shared" ref="Q5:Q36" si="5">O5-(P5+N5)</f>
        <v>0</v>
      </c>
      <c r="R5" s="26" t="s">
        <v>31</v>
      </c>
      <c r="S5" s="27"/>
      <c r="T5" t="s">
        <v>29</v>
      </c>
      <c r="U5" t="s">
        <v>30</v>
      </c>
    </row>
    <row r="6" spans="1:23" ht="17" thickBot="1" x14ac:dyDescent="0.25">
      <c r="A6" s="34">
        <v>45993</v>
      </c>
      <c r="B6" s="124">
        <v>2</v>
      </c>
      <c r="C6" s="33">
        <v>45992</v>
      </c>
      <c r="D6" s="41" t="s">
        <v>369</v>
      </c>
      <c r="E6" s="19" t="s">
        <v>32</v>
      </c>
      <c r="F6" s="3">
        <v>27500</v>
      </c>
      <c r="G6" s="5">
        <f t="shared" si="0"/>
        <v>2500</v>
      </c>
      <c r="H6" s="3"/>
      <c r="I6" s="12"/>
      <c r="J6" s="5">
        <f t="shared" si="1"/>
        <v>0</v>
      </c>
      <c r="K6" s="3">
        <f t="shared" si="2"/>
        <v>0</v>
      </c>
      <c r="L6" s="3">
        <v>0</v>
      </c>
      <c r="M6" s="3">
        <v>0</v>
      </c>
      <c r="N6" s="3">
        <f t="shared" si="3"/>
        <v>0</v>
      </c>
      <c r="O6" s="3">
        <f t="shared" si="4"/>
        <v>27500</v>
      </c>
      <c r="P6" s="38">
        <v>0</v>
      </c>
      <c r="Q6" s="3">
        <f t="shared" si="5"/>
        <v>27500</v>
      </c>
      <c r="R6" s="26" t="s">
        <v>31</v>
      </c>
      <c r="S6" s="27"/>
      <c r="T6" s="42" t="s">
        <v>29</v>
      </c>
      <c r="U6" s="35" t="s">
        <v>30</v>
      </c>
    </row>
    <row r="7" spans="1:23" ht="17" thickBot="1" x14ac:dyDescent="0.25">
      <c r="B7" s="124">
        <v>3</v>
      </c>
      <c r="C7" s="33">
        <v>45992</v>
      </c>
      <c r="D7" s="41" t="s">
        <v>33</v>
      </c>
      <c r="E7" s="19" t="s">
        <v>34</v>
      </c>
      <c r="F7" s="3">
        <v>676500</v>
      </c>
      <c r="G7" s="5">
        <f t="shared" si="0"/>
        <v>61500</v>
      </c>
      <c r="H7" s="3">
        <v>4650</v>
      </c>
      <c r="I7" s="12">
        <v>49083</v>
      </c>
      <c r="J7" s="17">
        <f t="shared" si="1"/>
        <v>4462</v>
      </c>
      <c r="K7" s="18">
        <f t="shared" si="2"/>
        <v>53733</v>
      </c>
      <c r="L7" s="18">
        <v>0</v>
      </c>
      <c r="M7" s="18">
        <v>0</v>
      </c>
      <c r="N7" s="18">
        <f t="shared" si="3"/>
        <v>0</v>
      </c>
      <c r="O7" s="18">
        <f t="shared" si="4"/>
        <v>730233</v>
      </c>
      <c r="P7" s="39">
        <v>30000</v>
      </c>
      <c r="Q7" s="3">
        <f t="shared" si="5"/>
        <v>700233</v>
      </c>
      <c r="R7" s="26" t="s">
        <v>31</v>
      </c>
      <c r="S7" s="27"/>
      <c r="T7" s="42" t="s">
        <v>35</v>
      </c>
      <c r="U7" s="36" t="s">
        <v>36</v>
      </c>
      <c r="V7" s="35" t="s">
        <v>37</v>
      </c>
    </row>
    <row r="8" spans="1:23" ht="17" thickBot="1" x14ac:dyDescent="0.25">
      <c r="A8" s="34">
        <v>45994</v>
      </c>
      <c r="B8" s="124">
        <v>4</v>
      </c>
      <c r="C8" s="33">
        <v>45993</v>
      </c>
      <c r="D8" s="41" t="s">
        <v>47</v>
      </c>
      <c r="E8" s="45" t="s">
        <v>48</v>
      </c>
      <c r="F8" s="3">
        <v>11000</v>
      </c>
      <c r="G8" s="5">
        <f t="shared" si="0"/>
        <v>1000</v>
      </c>
      <c r="H8" s="3">
        <v>0</v>
      </c>
      <c r="I8" s="12">
        <v>0</v>
      </c>
      <c r="J8" s="5">
        <f t="shared" si="1"/>
        <v>0</v>
      </c>
      <c r="K8" s="3">
        <f t="shared" si="2"/>
        <v>0</v>
      </c>
      <c r="L8" s="3">
        <v>0</v>
      </c>
      <c r="M8" s="3">
        <v>0</v>
      </c>
      <c r="N8" s="3">
        <f t="shared" si="3"/>
        <v>0</v>
      </c>
      <c r="O8" s="3">
        <f t="shared" si="4"/>
        <v>11000</v>
      </c>
      <c r="P8" s="3">
        <v>0</v>
      </c>
      <c r="Q8" s="18">
        <f t="shared" si="5"/>
        <v>11000</v>
      </c>
      <c r="R8" s="68">
        <v>46007</v>
      </c>
      <c r="S8" s="8"/>
      <c r="T8" s="69" t="s">
        <v>29</v>
      </c>
      <c r="U8" s="70" t="s">
        <v>30</v>
      </c>
    </row>
    <row r="9" spans="1:23" ht="17" thickBot="1" x14ac:dyDescent="0.35">
      <c r="B9" s="124">
        <v>5</v>
      </c>
      <c r="C9" s="33">
        <v>45995</v>
      </c>
      <c r="D9" s="41" t="s">
        <v>65</v>
      </c>
      <c r="E9" s="50" t="s">
        <v>66</v>
      </c>
      <c r="F9" s="3">
        <v>112860</v>
      </c>
      <c r="G9" s="5">
        <f t="shared" si="0"/>
        <v>10260</v>
      </c>
      <c r="H9" s="3">
        <v>7500</v>
      </c>
      <c r="I9" s="3">
        <v>12760</v>
      </c>
      <c r="J9" s="5">
        <f t="shared" si="1"/>
        <v>1160</v>
      </c>
      <c r="K9" s="3">
        <f t="shared" si="2"/>
        <v>20260</v>
      </c>
      <c r="L9" s="3">
        <v>0</v>
      </c>
      <c r="M9" s="3">
        <v>0</v>
      </c>
      <c r="N9" s="3">
        <f t="shared" si="3"/>
        <v>0</v>
      </c>
      <c r="O9" s="3">
        <f t="shared" si="4"/>
        <v>133120</v>
      </c>
      <c r="P9" s="3">
        <v>112860</v>
      </c>
      <c r="Q9" s="3">
        <f t="shared" si="5"/>
        <v>20260</v>
      </c>
      <c r="R9" s="23" t="s">
        <v>59</v>
      </c>
      <c r="S9" s="8"/>
      <c r="T9" s="51" t="s">
        <v>67</v>
      </c>
      <c r="U9" s="52" t="s">
        <v>62</v>
      </c>
      <c r="V9" s="52" t="s">
        <v>68</v>
      </c>
    </row>
    <row r="10" spans="1:23" ht="17" thickBot="1" x14ac:dyDescent="0.25">
      <c r="B10" s="124">
        <v>6</v>
      </c>
      <c r="C10" s="33">
        <v>45996</v>
      </c>
      <c r="D10" s="19" t="s">
        <v>69</v>
      </c>
      <c r="E10" s="105" t="s">
        <v>376</v>
      </c>
      <c r="F10" s="106">
        <v>507100</v>
      </c>
      <c r="G10" s="5">
        <f t="shared" si="0"/>
        <v>46100</v>
      </c>
      <c r="H10" s="3">
        <v>4050</v>
      </c>
      <c r="I10" s="3">
        <v>11070</v>
      </c>
      <c r="J10" s="5">
        <f t="shared" si="1"/>
        <v>1006.3</v>
      </c>
      <c r="K10" s="3">
        <f t="shared" si="2"/>
        <v>15120</v>
      </c>
      <c r="L10" s="3">
        <v>0</v>
      </c>
      <c r="M10" s="3">
        <v>0</v>
      </c>
      <c r="N10" s="3">
        <f t="shared" si="3"/>
        <v>0</v>
      </c>
      <c r="O10" s="3">
        <f t="shared" si="4"/>
        <v>522220</v>
      </c>
      <c r="P10" s="3">
        <v>200000</v>
      </c>
      <c r="Q10" s="3">
        <f t="shared" si="5"/>
        <v>322220</v>
      </c>
      <c r="R10" s="23" t="s">
        <v>59</v>
      </c>
      <c r="S10" s="8"/>
      <c r="T10" s="46" t="s">
        <v>35</v>
      </c>
      <c r="U10" s="36" t="s">
        <v>70</v>
      </c>
      <c r="V10" s="35" t="s">
        <v>71</v>
      </c>
    </row>
    <row r="11" spans="1:23" s="108" customFormat="1" ht="17" thickBot="1" x14ac:dyDescent="0.25">
      <c r="A11" s="120">
        <v>45996</v>
      </c>
      <c r="B11" s="124">
        <v>7</v>
      </c>
      <c r="C11" s="107">
        <v>45994</v>
      </c>
      <c r="D11" s="121" t="s">
        <v>60</v>
      </c>
      <c r="E11" s="109" t="s">
        <v>72</v>
      </c>
      <c r="F11" s="9">
        <v>0</v>
      </c>
      <c r="G11" s="64">
        <f t="shared" si="0"/>
        <v>0</v>
      </c>
      <c r="H11" s="9">
        <v>2900</v>
      </c>
      <c r="I11" s="9">
        <v>890</v>
      </c>
      <c r="J11" s="64">
        <f t="shared" si="1"/>
        <v>80.900000000000006</v>
      </c>
      <c r="K11" s="9">
        <f t="shared" si="2"/>
        <v>3790</v>
      </c>
      <c r="L11" s="9">
        <v>0</v>
      </c>
      <c r="M11" s="9">
        <v>0</v>
      </c>
      <c r="N11" s="9">
        <f t="shared" si="3"/>
        <v>0</v>
      </c>
      <c r="O11" s="9">
        <f t="shared" si="4"/>
        <v>3790</v>
      </c>
      <c r="P11" s="9">
        <v>0</v>
      </c>
      <c r="Q11" s="9">
        <f t="shared" si="5"/>
        <v>3790</v>
      </c>
      <c r="R11" s="23" t="s">
        <v>43</v>
      </c>
      <c r="S11" s="23"/>
      <c r="T11" s="115" t="s">
        <v>61</v>
      </c>
      <c r="U11" s="113" t="s">
        <v>62</v>
      </c>
      <c r="V11" s="114" t="s">
        <v>63</v>
      </c>
      <c r="W11" s="122" t="s">
        <v>64</v>
      </c>
    </row>
    <row r="12" spans="1:23" ht="17" thickBot="1" x14ac:dyDescent="0.25">
      <c r="B12" s="124">
        <v>8</v>
      </c>
      <c r="C12" s="33">
        <v>45995</v>
      </c>
      <c r="D12" s="41" t="s">
        <v>73</v>
      </c>
      <c r="E12" s="2" t="s">
        <v>375</v>
      </c>
      <c r="F12" s="3">
        <v>471900</v>
      </c>
      <c r="G12" s="5">
        <f t="shared" si="0"/>
        <v>42900</v>
      </c>
      <c r="H12" s="3">
        <v>9100</v>
      </c>
      <c r="I12" s="3">
        <v>52390</v>
      </c>
      <c r="J12" s="5">
        <f t="shared" si="1"/>
        <v>4762.7</v>
      </c>
      <c r="K12" s="3">
        <f t="shared" si="2"/>
        <v>61490</v>
      </c>
      <c r="L12" s="3">
        <v>0</v>
      </c>
      <c r="M12" s="3">
        <v>0</v>
      </c>
      <c r="N12" s="3">
        <f t="shared" si="3"/>
        <v>0</v>
      </c>
      <c r="O12" s="3">
        <f t="shared" si="4"/>
        <v>533390</v>
      </c>
      <c r="P12" s="3">
        <v>200000</v>
      </c>
      <c r="Q12" s="3">
        <f t="shared" si="5"/>
        <v>333390</v>
      </c>
      <c r="R12" s="23" t="s">
        <v>43</v>
      </c>
      <c r="S12" s="8"/>
      <c r="T12" s="46" t="s">
        <v>35</v>
      </c>
      <c r="U12" s="36" t="s">
        <v>70</v>
      </c>
      <c r="V12" s="35" t="s">
        <v>74</v>
      </c>
    </row>
    <row r="13" spans="1:23" ht="17" thickBot="1" x14ac:dyDescent="0.25">
      <c r="B13" s="124">
        <v>9</v>
      </c>
      <c r="C13" s="33">
        <v>45995</v>
      </c>
      <c r="D13" s="53" t="s">
        <v>75</v>
      </c>
      <c r="E13" s="54" t="s">
        <v>76</v>
      </c>
      <c r="F13" s="3">
        <v>114400</v>
      </c>
      <c r="G13" s="5">
        <f t="shared" si="0"/>
        <v>10400</v>
      </c>
      <c r="H13" s="3">
        <v>1100</v>
      </c>
      <c r="I13" s="3">
        <v>2030</v>
      </c>
      <c r="J13" s="5">
        <f t="shared" si="1"/>
        <v>184.5</v>
      </c>
      <c r="K13" s="3">
        <f t="shared" si="2"/>
        <v>3130</v>
      </c>
      <c r="L13" s="3">
        <v>0</v>
      </c>
      <c r="M13" s="3">
        <v>0</v>
      </c>
      <c r="N13" s="3">
        <f t="shared" si="3"/>
        <v>0</v>
      </c>
      <c r="O13" s="3">
        <f t="shared" si="4"/>
        <v>117530</v>
      </c>
      <c r="P13" s="3">
        <v>114400</v>
      </c>
      <c r="Q13" s="3">
        <f t="shared" si="5"/>
        <v>3130</v>
      </c>
      <c r="R13" s="23" t="s">
        <v>43</v>
      </c>
      <c r="S13" s="8"/>
      <c r="T13" s="46" t="s">
        <v>29</v>
      </c>
      <c r="U13" s="36" t="s">
        <v>30</v>
      </c>
      <c r="V13" s="35" t="s">
        <v>77</v>
      </c>
    </row>
    <row r="14" spans="1:23" s="108" customFormat="1" ht="17" thickBot="1" x14ac:dyDescent="0.25">
      <c r="B14" s="124">
        <v>10</v>
      </c>
      <c r="C14" s="107">
        <v>45994</v>
      </c>
      <c r="D14" s="60" t="s">
        <v>78</v>
      </c>
      <c r="E14" s="60" t="s">
        <v>79</v>
      </c>
      <c r="F14" s="9">
        <v>303600</v>
      </c>
      <c r="G14" s="64">
        <f t="shared" si="0"/>
        <v>27600</v>
      </c>
      <c r="H14" s="9">
        <v>0</v>
      </c>
      <c r="I14" s="9">
        <v>3150</v>
      </c>
      <c r="J14" s="64">
        <f t="shared" si="1"/>
        <v>286.3</v>
      </c>
      <c r="K14" s="9">
        <f t="shared" si="2"/>
        <v>3150</v>
      </c>
      <c r="L14" s="9">
        <v>0</v>
      </c>
      <c r="M14" s="9">
        <v>0</v>
      </c>
      <c r="N14" s="9">
        <f t="shared" si="3"/>
        <v>0</v>
      </c>
      <c r="O14" s="9">
        <f t="shared" si="4"/>
        <v>306750</v>
      </c>
      <c r="P14" s="9">
        <v>0</v>
      </c>
      <c r="Q14" s="9">
        <f t="shared" si="5"/>
        <v>306750</v>
      </c>
      <c r="R14" s="55">
        <v>45995</v>
      </c>
      <c r="S14" s="23"/>
      <c r="T14" s="115" t="s">
        <v>80</v>
      </c>
      <c r="U14" s="113" t="s">
        <v>81</v>
      </c>
      <c r="V14" s="114" t="s">
        <v>82</v>
      </c>
    </row>
    <row r="15" spans="1:23" x14ac:dyDescent="0.2">
      <c r="A15" s="34">
        <v>45997</v>
      </c>
      <c r="B15" s="124">
        <v>11</v>
      </c>
      <c r="C15" s="33">
        <v>45996</v>
      </c>
      <c r="D15" s="19" t="s">
        <v>101</v>
      </c>
      <c r="E15" s="19" t="s">
        <v>83</v>
      </c>
      <c r="F15" s="3">
        <v>284900</v>
      </c>
      <c r="G15" s="5">
        <f t="shared" si="0"/>
        <v>25900</v>
      </c>
      <c r="H15" s="3">
        <v>6350</v>
      </c>
      <c r="I15" s="3">
        <v>18810</v>
      </c>
      <c r="J15" s="5">
        <f t="shared" si="1"/>
        <v>1710</v>
      </c>
      <c r="K15" s="3">
        <f t="shared" si="2"/>
        <v>25160</v>
      </c>
      <c r="L15" s="3">
        <v>0</v>
      </c>
      <c r="M15" s="3">
        <v>0</v>
      </c>
      <c r="N15" s="3">
        <f t="shared" si="3"/>
        <v>0</v>
      </c>
      <c r="O15" s="3">
        <f t="shared" si="4"/>
        <v>310060</v>
      </c>
      <c r="P15" s="3">
        <v>200000</v>
      </c>
      <c r="Q15" s="3">
        <f t="shared" si="5"/>
        <v>110060</v>
      </c>
      <c r="R15" s="23" t="s">
        <v>43</v>
      </c>
      <c r="S15" s="8"/>
      <c r="T15" t="s">
        <v>84</v>
      </c>
      <c r="U15" t="s">
        <v>85</v>
      </c>
      <c r="V15" t="s">
        <v>74</v>
      </c>
    </row>
    <row r="16" spans="1:23" x14ac:dyDescent="0.2">
      <c r="B16" s="124">
        <v>12</v>
      </c>
      <c r="C16" s="33">
        <v>45997</v>
      </c>
      <c r="D16" s="19" t="s">
        <v>102</v>
      </c>
      <c r="E16" s="19" t="s">
        <v>91</v>
      </c>
      <c r="F16" s="3">
        <v>835216</v>
      </c>
      <c r="G16" s="5">
        <f t="shared" si="0"/>
        <v>75928.7</v>
      </c>
      <c r="H16" s="3">
        <v>6700</v>
      </c>
      <c r="I16" s="3">
        <v>44290</v>
      </c>
      <c r="J16" s="5">
        <f t="shared" si="1"/>
        <v>4026.3</v>
      </c>
      <c r="K16" s="3">
        <f t="shared" si="2"/>
        <v>50990</v>
      </c>
      <c r="L16" s="3">
        <v>0</v>
      </c>
      <c r="M16" s="3">
        <v>0</v>
      </c>
      <c r="N16" s="3">
        <f t="shared" si="3"/>
        <v>0</v>
      </c>
      <c r="O16" s="3">
        <f t="shared" si="4"/>
        <v>886206</v>
      </c>
      <c r="P16" s="3">
        <v>200000</v>
      </c>
      <c r="Q16" s="3">
        <f t="shared" si="5"/>
        <v>686206</v>
      </c>
      <c r="R16" s="23" t="s">
        <v>43</v>
      </c>
      <c r="S16" s="8"/>
      <c r="T16" t="s">
        <v>92</v>
      </c>
      <c r="U16" t="s">
        <v>93</v>
      </c>
      <c r="V16" t="s">
        <v>82</v>
      </c>
    </row>
    <row r="17" spans="1:23" ht="13.5" thickBot="1" x14ac:dyDescent="0.25">
      <c r="B17" s="124">
        <v>13</v>
      </c>
      <c r="C17" s="33">
        <v>45996</v>
      </c>
      <c r="D17" s="19" t="s">
        <v>103</v>
      </c>
      <c r="E17" s="19" t="s">
        <v>94</v>
      </c>
      <c r="F17" s="3">
        <v>262680</v>
      </c>
      <c r="G17" s="5">
        <f t="shared" si="0"/>
        <v>23880</v>
      </c>
      <c r="H17" s="3">
        <v>3750</v>
      </c>
      <c r="I17" s="3">
        <v>3580</v>
      </c>
      <c r="J17" s="5">
        <f t="shared" si="1"/>
        <v>325.39999999999998</v>
      </c>
      <c r="K17" s="3">
        <f t="shared" si="2"/>
        <v>7330</v>
      </c>
      <c r="L17" s="3">
        <v>0</v>
      </c>
      <c r="M17" s="3">
        <v>0</v>
      </c>
      <c r="N17" s="3">
        <f t="shared" si="3"/>
        <v>0</v>
      </c>
      <c r="O17" s="3">
        <f t="shared" si="4"/>
        <v>270010</v>
      </c>
      <c r="P17" s="3">
        <v>100000</v>
      </c>
      <c r="Q17" s="3">
        <f t="shared" si="5"/>
        <v>170010</v>
      </c>
      <c r="R17" s="23" t="s">
        <v>43</v>
      </c>
      <c r="S17" s="8"/>
      <c r="T17" t="s">
        <v>95</v>
      </c>
      <c r="U17" t="s">
        <v>96</v>
      </c>
      <c r="V17" t="s">
        <v>97</v>
      </c>
    </row>
    <row r="18" spans="1:23" ht="17" thickBot="1" x14ac:dyDescent="0.25">
      <c r="A18" s="34">
        <v>45999</v>
      </c>
      <c r="B18" s="124">
        <v>14</v>
      </c>
      <c r="C18" s="33">
        <v>45997</v>
      </c>
      <c r="D18" s="19" t="s">
        <v>104</v>
      </c>
      <c r="E18" s="50" t="s">
        <v>377</v>
      </c>
      <c r="F18" s="3">
        <v>158400</v>
      </c>
      <c r="G18" s="5">
        <f t="shared" si="0"/>
        <v>14400</v>
      </c>
      <c r="H18" s="3">
        <v>3850</v>
      </c>
      <c r="I18" s="3">
        <v>6960</v>
      </c>
      <c r="J18" s="5">
        <f t="shared" si="1"/>
        <v>632.70000000000005</v>
      </c>
      <c r="K18" s="3">
        <f t="shared" si="2"/>
        <v>10810</v>
      </c>
      <c r="L18" s="3">
        <v>0</v>
      </c>
      <c r="M18" s="3">
        <v>0</v>
      </c>
      <c r="N18" s="3">
        <f t="shared" si="3"/>
        <v>0</v>
      </c>
      <c r="O18" s="3">
        <f t="shared" si="4"/>
        <v>169210</v>
      </c>
      <c r="P18" s="3">
        <v>158400</v>
      </c>
      <c r="Q18" s="3">
        <f t="shared" si="5"/>
        <v>10810</v>
      </c>
      <c r="R18" s="23" t="s">
        <v>43</v>
      </c>
      <c r="S18" s="8"/>
      <c r="T18" s="46" t="s">
        <v>35</v>
      </c>
      <c r="U18" s="36" t="s">
        <v>70</v>
      </c>
      <c r="V18" s="36" t="s">
        <v>71</v>
      </c>
      <c r="W18" s="56" t="s">
        <v>105</v>
      </c>
    </row>
    <row r="19" spans="1:23" ht="25.5" thickBot="1" x14ac:dyDescent="0.25">
      <c r="B19" s="124">
        <v>15</v>
      </c>
      <c r="C19" s="33">
        <v>45996</v>
      </c>
      <c r="D19" s="19" t="s">
        <v>106</v>
      </c>
      <c r="E19" s="50" t="s">
        <v>378</v>
      </c>
      <c r="F19" s="3">
        <v>28600</v>
      </c>
      <c r="G19" s="5">
        <f t="shared" si="0"/>
        <v>2600</v>
      </c>
      <c r="H19" s="3">
        <v>0</v>
      </c>
      <c r="I19" s="3">
        <v>0</v>
      </c>
      <c r="J19" s="5">
        <f t="shared" si="1"/>
        <v>0</v>
      </c>
      <c r="K19" s="3">
        <f t="shared" si="2"/>
        <v>0</v>
      </c>
      <c r="L19" s="3">
        <v>0</v>
      </c>
      <c r="M19" s="3">
        <v>0</v>
      </c>
      <c r="N19" s="3">
        <f t="shared" si="3"/>
        <v>0</v>
      </c>
      <c r="O19" s="3">
        <f t="shared" si="4"/>
        <v>28600</v>
      </c>
      <c r="P19" s="3">
        <v>28600</v>
      </c>
      <c r="Q19" s="3">
        <f t="shared" si="5"/>
        <v>0</v>
      </c>
      <c r="R19" s="55">
        <v>45950</v>
      </c>
      <c r="S19" s="8"/>
      <c r="T19" s="46" t="s">
        <v>107</v>
      </c>
      <c r="U19" s="36" t="s">
        <v>107</v>
      </c>
      <c r="V19" s="35"/>
      <c r="W19" s="49" t="s">
        <v>108</v>
      </c>
    </row>
    <row r="20" spans="1:23" ht="17" thickBot="1" x14ac:dyDescent="0.25">
      <c r="B20" s="124">
        <v>16</v>
      </c>
      <c r="C20" s="33">
        <v>45997</v>
      </c>
      <c r="D20" s="19" t="s">
        <v>109</v>
      </c>
      <c r="E20" s="45" t="s">
        <v>110</v>
      </c>
      <c r="F20" s="3">
        <v>521400</v>
      </c>
      <c r="G20" s="5">
        <f t="shared" si="0"/>
        <v>47400</v>
      </c>
      <c r="H20" s="3">
        <v>5450</v>
      </c>
      <c r="I20" s="3">
        <v>3210</v>
      </c>
      <c r="J20" s="5">
        <f t="shared" si="1"/>
        <v>291.8</v>
      </c>
      <c r="K20" s="3">
        <f t="shared" si="2"/>
        <v>8660</v>
      </c>
      <c r="L20" s="3">
        <v>0</v>
      </c>
      <c r="M20" s="3">
        <v>0</v>
      </c>
      <c r="N20" s="3">
        <f t="shared" si="3"/>
        <v>0</v>
      </c>
      <c r="O20" s="3">
        <f t="shared" si="4"/>
        <v>530060</v>
      </c>
      <c r="P20" s="3">
        <v>521400</v>
      </c>
      <c r="Q20" s="3">
        <f t="shared" si="5"/>
        <v>8660</v>
      </c>
      <c r="R20" s="23" t="s">
        <v>43</v>
      </c>
      <c r="S20" s="8"/>
      <c r="T20" s="46" t="s">
        <v>29</v>
      </c>
      <c r="U20" s="36" t="s">
        <v>111</v>
      </c>
      <c r="V20" s="35" t="s">
        <v>112</v>
      </c>
    </row>
    <row r="21" spans="1:23" ht="17" thickBot="1" x14ac:dyDescent="0.25">
      <c r="B21" s="124">
        <v>17</v>
      </c>
      <c r="C21" s="33">
        <v>45994</v>
      </c>
      <c r="D21" s="19" t="s">
        <v>113</v>
      </c>
      <c r="E21" s="50" t="s">
        <v>114</v>
      </c>
      <c r="F21" s="3">
        <v>0</v>
      </c>
      <c r="G21" s="5">
        <f t="shared" si="0"/>
        <v>0</v>
      </c>
      <c r="H21" s="3">
        <v>0</v>
      </c>
      <c r="I21" s="3">
        <v>110000</v>
      </c>
      <c r="J21" s="5">
        <f t="shared" si="1"/>
        <v>10000</v>
      </c>
      <c r="K21" s="3">
        <f t="shared" si="2"/>
        <v>110000</v>
      </c>
      <c r="L21" s="3">
        <v>0</v>
      </c>
      <c r="M21" s="3">
        <v>0</v>
      </c>
      <c r="N21" s="3">
        <f t="shared" si="3"/>
        <v>0</v>
      </c>
      <c r="O21" s="3">
        <f t="shared" si="4"/>
        <v>110000</v>
      </c>
      <c r="P21" s="3">
        <v>0</v>
      </c>
      <c r="Q21" s="3">
        <f t="shared" si="5"/>
        <v>110000</v>
      </c>
      <c r="R21" s="55">
        <v>45996</v>
      </c>
      <c r="S21" s="8"/>
      <c r="T21" s="57" t="s">
        <v>29</v>
      </c>
      <c r="U21" s="58" t="s">
        <v>30</v>
      </c>
      <c r="V21" s="59" t="s">
        <v>97</v>
      </c>
    </row>
    <row r="22" spans="1:23" x14ac:dyDescent="0.2">
      <c r="A22" s="34">
        <v>46000</v>
      </c>
      <c r="B22" s="124">
        <v>18</v>
      </c>
      <c r="C22" s="33">
        <v>45996</v>
      </c>
      <c r="D22" s="19" t="s">
        <v>115</v>
      </c>
      <c r="E22" s="19" t="s">
        <v>116</v>
      </c>
      <c r="F22" s="3">
        <v>75900</v>
      </c>
      <c r="G22" s="5">
        <f t="shared" si="0"/>
        <v>6900</v>
      </c>
      <c r="H22" s="3">
        <v>2800</v>
      </c>
      <c r="I22" s="3">
        <v>2520</v>
      </c>
      <c r="J22" s="5">
        <f t="shared" si="1"/>
        <v>229</v>
      </c>
      <c r="K22" s="3">
        <f t="shared" si="2"/>
        <v>5320</v>
      </c>
      <c r="L22" s="3">
        <v>0</v>
      </c>
      <c r="M22" s="3">
        <v>0</v>
      </c>
      <c r="N22" s="3">
        <f t="shared" si="3"/>
        <v>0</v>
      </c>
      <c r="O22" s="3">
        <f t="shared" si="4"/>
        <v>81220</v>
      </c>
      <c r="P22" s="3">
        <v>75900</v>
      </c>
      <c r="Q22" s="3">
        <f t="shared" si="5"/>
        <v>5320</v>
      </c>
      <c r="R22" s="23" t="s">
        <v>43</v>
      </c>
      <c r="S22" s="8"/>
      <c r="T22" t="s">
        <v>95</v>
      </c>
      <c r="U22" t="s">
        <v>117</v>
      </c>
      <c r="V22" t="s">
        <v>118</v>
      </c>
    </row>
    <row r="23" spans="1:23" x14ac:dyDescent="0.2">
      <c r="B23" s="124">
        <v>19</v>
      </c>
      <c r="C23" s="33">
        <v>45993</v>
      </c>
      <c r="D23" s="19" t="s">
        <v>119</v>
      </c>
      <c r="E23" s="19" t="s">
        <v>120</v>
      </c>
      <c r="F23" s="3">
        <v>221210</v>
      </c>
      <c r="G23" s="5">
        <f t="shared" si="0"/>
        <v>20110</v>
      </c>
      <c r="H23" s="3">
        <v>1960</v>
      </c>
      <c r="I23" s="3">
        <v>3500</v>
      </c>
      <c r="J23" s="5">
        <f t="shared" si="1"/>
        <v>318.10000000000002</v>
      </c>
      <c r="K23" s="3">
        <f t="shared" si="2"/>
        <v>5460</v>
      </c>
      <c r="L23" s="3">
        <v>0</v>
      </c>
      <c r="M23" s="3">
        <v>0</v>
      </c>
      <c r="N23" s="3">
        <f t="shared" si="3"/>
        <v>0</v>
      </c>
      <c r="O23" s="3">
        <f t="shared" si="4"/>
        <v>226670</v>
      </c>
      <c r="P23" s="3">
        <v>200000</v>
      </c>
      <c r="Q23" s="3">
        <f t="shared" si="5"/>
        <v>26670</v>
      </c>
      <c r="R23" s="23" t="s">
        <v>43</v>
      </c>
      <c r="S23" s="8"/>
      <c r="T23" t="s">
        <v>35</v>
      </c>
      <c r="U23" t="s">
        <v>121</v>
      </c>
    </row>
    <row r="24" spans="1:23" x14ac:dyDescent="0.2">
      <c r="B24" s="124">
        <v>20</v>
      </c>
      <c r="C24" s="33">
        <v>45999</v>
      </c>
      <c r="D24" s="19" t="s">
        <v>122</v>
      </c>
      <c r="E24" s="19" t="s">
        <v>123</v>
      </c>
      <c r="F24" s="3">
        <v>141900</v>
      </c>
      <c r="G24" s="5">
        <f t="shared" si="0"/>
        <v>12900</v>
      </c>
      <c r="H24" s="3">
        <v>6100</v>
      </c>
      <c r="I24" s="3">
        <v>11070</v>
      </c>
      <c r="J24" s="5">
        <f t="shared" si="1"/>
        <v>1006.3</v>
      </c>
      <c r="K24" s="3">
        <f t="shared" si="2"/>
        <v>17170</v>
      </c>
      <c r="L24" s="3">
        <v>0</v>
      </c>
      <c r="M24" s="3">
        <v>0</v>
      </c>
      <c r="N24" s="3">
        <f t="shared" si="3"/>
        <v>0</v>
      </c>
      <c r="O24" s="3">
        <f t="shared" si="4"/>
        <v>159070</v>
      </c>
      <c r="P24" s="3">
        <v>100000</v>
      </c>
      <c r="Q24" s="3">
        <f t="shared" si="5"/>
        <v>59070</v>
      </c>
      <c r="R24" s="23" t="s">
        <v>43</v>
      </c>
      <c r="S24" s="8"/>
      <c r="T24" t="s">
        <v>35</v>
      </c>
      <c r="U24" t="s">
        <v>121</v>
      </c>
    </row>
    <row r="25" spans="1:23" ht="23" x14ac:dyDescent="0.2">
      <c r="B25" s="124">
        <v>21</v>
      </c>
      <c r="C25" s="33">
        <v>46000</v>
      </c>
      <c r="D25" s="60" t="s">
        <v>124</v>
      </c>
      <c r="E25" s="61" t="s">
        <v>125</v>
      </c>
      <c r="F25" s="3">
        <v>33000</v>
      </c>
      <c r="G25" s="5">
        <f t="shared" si="0"/>
        <v>3000</v>
      </c>
      <c r="H25" s="3">
        <v>26650</v>
      </c>
      <c r="I25" s="3">
        <v>26460</v>
      </c>
      <c r="J25" s="5">
        <f t="shared" si="1"/>
        <v>2405.4</v>
      </c>
      <c r="K25" s="3">
        <f t="shared" si="2"/>
        <v>53110</v>
      </c>
      <c r="L25" s="3">
        <v>0</v>
      </c>
      <c r="M25" s="3">
        <v>0</v>
      </c>
      <c r="N25" s="3">
        <f t="shared" si="3"/>
        <v>0</v>
      </c>
      <c r="O25" s="3">
        <f t="shared" si="4"/>
        <v>86110</v>
      </c>
      <c r="P25" s="3">
        <v>0</v>
      </c>
      <c r="Q25" s="3">
        <f t="shared" si="5"/>
        <v>86110</v>
      </c>
      <c r="R25" s="23" t="s">
        <v>43</v>
      </c>
      <c r="S25" s="8"/>
      <c r="T25" t="s">
        <v>80</v>
      </c>
      <c r="U25" t="s">
        <v>126</v>
      </c>
      <c r="V25" t="s">
        <v>37</v>
      </c>
    </row>
    <row r="26" spans="1:23" ht="15" x14ac:dyDescent="0.2">
      <c r="B26" s="124">
        <v>22</v>
      </c>
      <c r="C26" s="33" t="s">
        <v>129</v>
      </c>
      <c r="D26" s="19" t="s">
        <v>127</v>
      </c>
      <c r="E26" s="62" t="s">
        <v>128</v>
      </c>
      <c r="F26" s="3">
        <v>272800</v>
      </c>
      <c r="G26" s="5">
        <f t="shared" si="0"/>
        <v>24800</v>
      </c>
      <c r="H26" s="3">
        <v>13700</v>
      </c>
      <c r="I26" s="3">
        <v>39018</v>
      </c>
      <c r="J26" s="5">
        <f t="shared" si="1"/>
        <v>3547</v>
      </c>
      <c r="K26" s="3">
        <f t="shared" si="2"/>
        <v>52718</v>
      </c>
      <c r="L26" s="3">
        <v>0</v>
      </c>
      <c r="M26" s="3">
        <v>0</v>
      </c>
      <c r="N26" s="3">
        <f t="shared" si="3"/>
        <v>0</v>
      </c>
      <c r="O26" s="3">
        <f t="shared" si="4"/>
        <v>325518</v>
      </c>
      <c r="P26" s="3">
        <v>294800</v>
      </c>
      <c r="Q26" s="3">
        <f t="shared" si="5"/>
        <v>30718</v>
      </c>
      <c r="R26" s="55">
        <v>45981</v>
      </c>
      <c r="S26" s="8" t="s">
        <v>131</v>
      </c>
      <c r="T26" t="s">
        <v>130</v>
      </c>
      <c r="U26" t="s">
        <v>30</v>
      </c>
    </row>
    <row r="27" spans="1:23" x14ac:dyDescent="0.2">
      <c r="B27" s="124">
        <v>23</v>
      </c>
      <c r="C27" s="107">
        <v>45999</v>
      </c>
      <c r="D27" s="60" t="s">
        <v>132</v>
      </c>
      <c r="E27" s="63" t="s">
        <v>133</v>
      </c>
      <c r="F27" s="9">
        <v>108900</v>
      </c>
      <c r="G27" s="64">
        <f t="shared" si="0"/>
        <v>9900</v>
      </c>
      <c r="H27" s="9">
        <v>2050</v>
      </c>
      <c r="I27" s="9">
        <v>2530</v>
      </c>
      <c r="J27" s="64">
        <f t="shared" si="1"/>
        <v>230</v>
      </c>
      <c r="K27" s="9">
        <f t="shared" si="2"/>
        <v>4580</v>
      </c>
      <c r="L27" s="9">
        <v>0</v>
      </c>
      <c r="M27" s="9">
        <v>0</v>
      </c>
      <c r="N27" s="9">
        <f t="shared" si="3"/>
        <v>0</v>
      </c>
      <c r="O27" s="9">
        <f t="shared" si="4"/>
        <v>113480</v>
      </c>
      <c r="P27" s="9">
        <v>108900</v>
      </c>
      <c r="Q27" s="9">
        <f t="shared" si="5"/>
        <v>4580</v>
      </c>
      <c r="R27" s="23" t="s">
        <v>43</v>
      </c>
      <c r="S27" s="8"/>
      <c r="T27" t="s">
        <v>29</v>
      </c>
      <c r="U27" t="s">
        <v>30</v>
      </c>
      <c r="V27" t="s">
        <v>58</v>
      </c>
    </row>
    <row r="28" spans="1:23" x14ac:dyDescent="0.2">
      <c r="B28" s="124">
        <v>24</v>
      </c>
      <c r="C28" s="107">
        <v>45999</v>
      </c>
      <c r="D28" s="60" t="s">
        <v>134</v>
      </c>
      <c r="E28" s="60" t="s">
        <v>135</v>
      </c>
      <c r="F28" s="9">
        <v>84700</v>
      </c>
      <c r="G28" s="64">
        <f t="shared" si="0"/>
        <v>7700</v>
      </c>
      <c r="H28" s="9">
        <v>4850</v>
      </c>
      <c r="I28" s="9">
        <v>4890</v>
      </c>
      <c r="J28" s="64">
        <f t="shared" si="1"/>
        <v>444.5</v>
      </c>
      <c r="K28" s="9">
        <f t="shared" si="2"/>
        <v>9740</v>
      </c>
      <c r="L28" s="9">
        <v>0</v>
      </c>
      <c r="M28" s="9">
        <v>0</v>
      </c>
      <c r="N28" s="9">
        <f t="shared" si="3"/>
        <v>0</v>
      </c>
      <c r="O28" s="9">
        <f t="shared" si="4"/>
        <v>94440</v>
      </c>
      <c r="P28" s="9">
        <v>84700</v>
      </c>
      <c r="Q28" s="9">
        <f t="shared" si="5"/>
        <v>9740</v>
      </c>
      <c r="R28" s="23" t="s">
        <v>43</v>
      </c>
      <c r="S28" s="8"/>
      <c r="T28" t="s">
        <v>84</v>
      </c>
      <c r="U28" t="s">
        <v>136</v>
      </c>
      <c r="V28" t="s">
        <v>58</v>
      </c>
    </row>
    <row r="29" spans="1:23" s="108" customFormat="1" x14ac:dyDescent="0.2">
      <c r="B29" s="124">
        <v>25</v>
      </c>
      <c r="C29" s="107">
        <v>45999</v>
      </c>
      <c r="D29" s="60" t="s">
        <v>382</v>
      </c>
      <c r="E29" s="60" t="s">
        <v>137</v>
      </c>
      <c r="F29" s="9">
        <v>33000</v>
      </c>
      <c r="G29" s="64">
        <f t="shared" si="0"/>
        <v>3000</v>
      </c>
      <c r="H29" s="9">
        <v>1400</v>
      </c>
      <c r="I29" s="9">
        <v>3000</v>
      </c>
      <c r="J29" s="64">
        <f t="shared" si="1"/>
        <v>272.7</v>
      </c>
      <c r="K29" s="9">
        <f t="shared" si="2"/>
        <v>4400</v>
      </c>
      <c r="L29" s="9">
        <v>0</v>
      </c>
      <c r="M29" s="9">
        <v>0</v>
      </c>
      <c r="N29" s="9">
        <f t="shared" si="3"/>
        <v>0</v>
      </c>
      <c r="O29" s="9">
        <f t="shared" si="4"/>
        <v>37400</v>
      </c>
      <c r="P29" s="9">
        <v>33000</v>
      </c>
      <c r="Q29" s="9">
        <f t="shared" si="5"/>
        <v>4400</v>
      </c>
      <c r="R29" s="23" t="s">
        <v>43</v>
      </c>
      <c r="S29" s="23"/>
      <c r="T29" s="108" t="s">
        <v>61</v>
      </c>
      <c r="U29" s="108" t="s">
        <v>62</v>
      </c>
      <c r="V29" s="108" t="s">
        <v>138</v>
      </c>
    </row>
    <row r="30" spans="1:23" s="108" customFormat="1" x14ac:dyDescent="0.2">
      <c r="B30" s="124">
        <v>26</v>
      </c>
      <c r="C30" s="107">
        <v>46000</v>
      </c>
      <c r="D30" s="60" t="s">
        <v>383</v>
      </c>
      <c r="E30" s="60" t="s">
        <v>139</v>
      </c>
      <c r="F30" s="9">
        <v>100100</v>
      </c>
      <c r="G30" s="64">
        <f t="shared" si="0"/>
        <v>9100</v>
      </c>
      <c r="H30" s="9">
        <v>2950</v>
      </c>
      <c r="I30" s="9">
        <v>6480</v>
      </c>
      <c r="J30" s="64">
        <f t="shared" si="1"/>
        <v>589</v>
      </c>
      <c r="K30" s="9">
        <f t="shared" si="2"/>
        <v>9430</v>
      </c>
      <c r="L30" s="9">
        <v>0</v>
      </c>
      <c r="M30" s="9">
        <v>0</v>
      </c>
      <c r="N30" s="9">
        <f t="shared" si="3"/>
        <v>0</v>
      </c>
      <c r="O30" s="9">
        <f t="shared" si="4"/>
        <v>109530</v>
      </c>
      <c r="P30" s="9">
        <v>100100</v>
      </c>
      <c r="Q30" s="9">
        <f t="shared" si="5"/>
        <v>9430</v>
      </c>
      <c r="R30" s="23" t="s">
        <v>43</v>
      </c>
      <c r="S30" s="23"/>
      <c r="T30" s="108" t="s">
        <v>61</v>
      </c>
      <c r="U30" s="108" t="s">
        <v>62</v>
      </c>
      <c r="V30" s="108" t="s">
        <v>138</v>
      </c>
    </row>
    <row r="31" spans="1:23" s="108" customFormat="1" x14ac:dyDescent="0.2">
      <c r="B31" s="124">
        <v>27</v>
      </c>
      <c r="C31" s="107">
        <v>46000</v>
      </c>
      <c r="D31" s="60" t="s">
        <v>384</v>
      </c>
      <c r="E31" s="60" t="s">
        <v>139</v>
      </c>
      <c r="F31" s="9">
        <v>130900</v>
      </c>
      <c r="G31" s="64">
        <f t="shared" si="0"/>
        <v>11900</v>
      </c>
      <c r="H31" s="9">
        <v>0</v>
      </c>
      <c r="I31" s="9">
        <v>0</v>
      </c>
      <c r="J31" s="64">
        <f t="shared" si="1"/>
        <v>0</v>
      </c>
      <c r="K31" s="9">
        <f t="shared" si="2"/>
        <v>0</v>
      </c>
      <c r="L31" s="9">
        <v>0</v>
      </c>
      <c r="M31" s="9">
        <v>0</v>
      </c>
      <c r="N31" s="9">
        <f t="shared" si="3"/>
        <v>0</v>
      </c>
      <c r="O31" s="9">
        <f t="shared" si="4"/>
        <v>130900</v>
      </c>
      <c r="P31" s="9">
        <v>130900</v>
      </c>
      <c r="Q31" s="9">
        <f t="shared" si="5"/>
        <v>0</v>
      </c>
      <c r="R31" s="23" t="s">
        <v>43</v>
      </c>
      <c r="S31" s="23"/>
      <c r="T31" s="108" t="s">
        <v>61</v>
      </c>
      <c r="U31" s="108" t="s">
        <v>62</v>
      </c>
      <c r="V31" s="108" t="s">
        <v>138</v>
      </c>
    </row>
    <row r="32" spans="1:23" x14ac:dyDescent="0.2">
      <c r="B32" s="124">
        <v>28</v>
      </c>
      <c r="C32" s="33">
        <v>45999</v>
      </c>
      <c r="D32" s="19" t="s">
        <v>140</v>
      </c>
      <c r="E32" s="19" t="s">
        <v>141</v>
      </c>
      <c r="F32" s="3">
        <v>88000</v>
      </c>
      <c r="G32" s="5">
        <f t="shared" si="0"/>
        <v>8000</v>
      </c>
      <c r="H32" s="3">
        <v>2300</v>
      </c>
      <c r="I32" s="3">
        <v>5500</v>
      </c>
      <c r="J32" s="5">
        <f t="shared" si="1"/>
        <v>500</v>
      </c>
      <c r="K32" s="3">
        <f t="shared" si="2"/>
        <v>7800</v>
      </c>
      <c r="L32" s="3">
        <v>0</v>
      </c>
      <c r="M32" s="3">
        <v>0</v>
      </c>
      <c r="N32" s="3">
        <f t="shared" si="3"/>
        <v>0</v>
      </c>
      <c r="O32" s="3">
        <f t="shared" si="4"/>
        <v>95800</v>
      </c>
      <c r="P32" s="3">
        <v>50000</v>
      </c>
      <c r="Q32" s="3">
        <f t="shared" si="5"/>
        <v>45800</v>
      </c>
      <c r="R32" s="23" t="s">
        <v>43</v>
      </c>
      <c r="S32" s="8"/>
      <c r="T32" t="s">
        <v>95</v>
      </c>
      <c r="U32" t="s">
        <v>96</v>
      </c>
      <c r="V32" t="s">
        <v>142</v>
      </c>
    </row>
    <row r="33" spans="1:23" x14ac:dyDescent="0.2">
      <c r="B33" s="124">
        <v>29</v>
      </c>
      <c r="C33" s="33">
        <v>45999</v>
      </c>
      <c r="D33" s="19" t="s">
        <v>143</v>
      </c>
      <c r="E33" s="19" t="s">
        <v>144</v>
      </c>
      <c r="F33" s="3">
        <v>169400</v>
      </c>
      <c r="G33" s="5">
        <f t="shared" si="0"/>
        <v>15400</v>
      </c>
      <c r="H33" s="3">
        <v>1850</v>
      </c>
      <c r="I33" s="3">
        <v>3690</v>
      </c>
      <c r="J33" s="5">
        <f t="shared" si="1"/>
        <v>335.4</v>
      </c>
      <c r="K33" s="3">
        <f t="shared" si="2"/>
        <v>5540</v>
      </c>
      <c r="L33" s="3">
        <v>0</v>
      </c>
      <c r="M33" s="3">
        <v>0</v>
      </c>
      <c r="N33" s="3">
        <f t="shared" si="3"/>
        <v>0</v>
      </c>
      <c r="O33" s="3">
        <f t="shared" si="4"/>
        <v>174940</v>
      </c>
      <c r="P33" s="3">
        <v>169400</v>
      </c>
      <c r="Q33" s="3">
        <f t="shared" si="5"/>
        <v>5540</v>
      </c>
      <c r="R33" s="23" t="s">
        <v>43</v>
      </c>
      <c r="S33" s="8"/>
      <c r="T33" t="s">
        <v>147</v>
      </c>
      <c r="U33" t="s">
        <v>145</v>
      </c>
      <c r="V33" t="s">
        <v>146</v>
      </c>
    </row>
    <row r="34" spans="1:23" ht="13.5" thickBot="1" x14ac:dyDescent="0.25">
      <c r="B34" s="124">
        <v>30</v>
      </c>
      <c r="C34" s="33">
        <v>45999</v>
      </c>
      <c r="D34" s="19" t="s">
        <v>148</v>
      </c>
      <c r="E34" s="19" t="s">
        <v>149</v>
      </c>
      <c r="F34" s="3">
        <v>141900</v>
      </c>
      <c r="G34" s="5">
        <f t="shared" si="0"/>
        <v>12900</v>
      </c>
      <c r="H34" s="3">
        <v>2100</v>
      </c>
      <c r="I34" s="3">
        <v>12930</v>
      </c>
      <c r="J34" s="5">
        <f t="shared" si="1"/>
        <v>1175.4000000000001</v>
      </c>
      <c r="K34" s="3">
        <f t="shared" si="2"/>
        <v>15030</v>
      </c>
      <c r="L34" s="3">
        <v>0</v>
      </c>
      <c r="M34" s="3">
        <v>0</v>
      </c>
      <c r="N34" s="3">
        <f t="shared" si="3"/>
        <v>0</v>
      </c>
      <c r="O34" s="3">
        <f t="shared" si="4"/>
        <v>156930</v>
      </c>
      <c r="P34" s="3">
        <v>141900</v>
      </c>
      <c r="Q34" s="3">
        <f t="shared" si="5"/>
        <v>15030</v>
      </c>
      <c r="R34" s="23" t="s">
        <v>43</v>
      </c>
      <c r="S34" s="8"/>
      <c r="T34" t="s">
        <v>95</v>
      </c>
      <c r="U34" t="s">
        <v>117</v>
      </c>
      <c r="V34" t="s">
        <v>142</v>
      </c>
    </row>
    <row r="35" spans="1:23" ht="17" thickBot="1" x14ac:dyDescent="0.25">
      <c r="A35" s="34">
        <v>46001</v>
      </c>
      <c r="B35" s="124">
        <v>31</v>
      </c>
      <c r="C35" s="33">
        <v>46004</v>
      </c>
      <c r="D35" s="19" t="s">
        <v>155</v>
      </c>
      <c r="E35" s="48" t="s">
        <v>156</v>
      </c>
      <c r="F35" s="3">
        <v>636900</v>
      </c>
      <c r="G35" s="5">
        <f t="shared" si="0"/>
        <v>57900</v>
      </c>
      <c r="H35" s="3">
        <v>5000</v>
      </c>
      <c r="I35" s="3">
        <v>18750</v>
      </c>
      <c r="J35" s="5">
        <f>ROUNDDOWN(I35*0.1,1)</f>
        <v>1875</v>
      </c>
      <c r="K35" s="3">
        <f t="shared" si="2"/>
        <v>23750</v>
      </c>
      <c r="L35" s="3">
        <v>0</v>
      </c>
      <c r="M35" s="3">
        <v>0</v>
      </c>
      <c r="N35" s="3">
        <f t="shared" si="3"/>
        <v>0</v>
      </c>
      <c r="O35" s="3">
        <f t="shared" si="4"/>
        <v>660650</v>
      </c>
      <c r="P35" s="3">
        <v>500000</v>
      </c>
      <c r="Q35" s="14">
        <f t="shared" si="5"/>
        <v>160650</v>
      </c>
      <c r="R35" s="23" t="s">
        <v>43</v>
      </c>
      <c r="S35" s="8"/>
      <c r="T35" s="46" t="s">
        <v>84</v>
      </c>
      <c r="U35" s="36" t="s">
        <v>136</v>
      </c>
      <c r="V35" s="35" t="s">
        <v>157</v>
      </c>
    </row>
    <row r="36" spans="1:23" ht="17" thickBot="1" x14ac:dyDescent="0.25">
      <c r="B36" s="124">
        <v>32</v>
      </c>
      <c r="C36" s="33">
        <v>45993</v>
      </c>
      <c r="D36" s="19" t="s">
        <v>158</v>
      </c>
      <c r="E36" s="48" t="s">
        <v>159</v>
      </c>
      <c r="F36" s="3">
        <v>724068</v>
      </c>
      <c r="G36" s="5">
        <f t="shared" si="0"/>
        <v>65824.3</v>
      </c>
      <c r="H36" s="3">
        <v>11850</v>
      </c>
      <c r="I36" s="3">
        <v>18400</v>
      </c>
      <c r="J36" s="5">
        <f>ROUNDDOWN(I36*0.1,1)</f>
        <v>1840</v>
      </c>
      <c r="K36" s="3">
        <f t="shared" si="2"/>
        <v>30250</v>
      </c>
      <c r="L36" s="3">
        <v>0</v>
      </c>
      <c r="M36" s="3">
        <v>0</v>
      </c>
      <c r="N36" s="3">
        <f t="shared" si="3"/>
        <v>0</v>
      </c>
      <c r="O36" s="3">
        <f t="shared" si="4"/>
        <v>754318</v>
      </c>
      <c r="P36" s="38">
        <v>100000</v>
      </c>
      <c r="Q36" s="40">
        <f t="shared" si="5"/>
        <v>654318</v>
      </c>
      <c r="R36" s="23" t="s">
        <v>43</v>
      </c>
      <c r="S36" s="147" t="s">
        <v>161</v>
      </c>
      <c r="T36" s="46" t="s">
        <v>35</v>
      </c>
      <c r="U36" s="36" t="s">
        <v>36</v>
      </c>
      <c r="V36" s="35" t="s">
        <v>74</v>
      </c>
      <c r="W36" s="49" t="s">
        <v>163</v>
      </c>
    </row>
    <row r="37" spans="1:23" ht="17" thickBot="1" x14ac:dyDescent="0.25">
      <c r="B37" s="124">
        <v>33</v>
      </c>
      <c r="C37" s="33">
        <v>45993</v>
      </c>
      <c r="D37" s="19" t="s">
        <v>160</v>
      </c>
      <c r="E37" s="48" t="s">
        <v>159</v>
      </c>
      <c r="F37" s="3">
        <v>266310</v>
      </c>
      <c r="G37" s="5">
        <f t="shared" ref="G37:G68" si="6">ROUNDDOWN(F37/1.1*0.1,1)</f>
        <v>24210</v>
      </c>
      <c r="H37" s="3">
        <v>0</v>
      </c>
      <c r="I37" s="3">
        <v>0</v>
      </c>
      <c r="J37" s="5">
        <f>ROUNDDOWN(I37*0.1,1)</f>
        <v>0</v>
      </c>
      <c r="K37" s="3">
        <f t="shared" ref="K37:K68" si="7">H37+I37</f>
        <v>0</v>
      </c>
      <c r="L37" s="3">
        <v>0</v>
      </c>
      <c r="M37" s="3">
        <v>0</v>
      </c>
      <c r="N37" s="3">
        <f t="shared" ref="N37:N68" si="8">L37+M37</f>
        <v>0</v>
      </c>
      <c r="O37" s="3">
        <f t="shared" ref="O37:O68" si="9">F37+K37</f>
        <v>266310</v>
      </c>
      <c r="P37" s="38">
        <v>10000</v>
      </c>
      <c r="Q37" s="43">
        <f t="shared" ref="Q37:Q68" si="10">O37-(P37+N37)</f>
        <v>256310</v>
      </c>
      <c r="R37" s="23" t="s">
        <v>43</v>
      </c>
      <c r="S37" s="148"/>
    </row>
    <row r="38" spans="1:23" ht="17" thickBot="1" x14ac:dyDescent="0.25">
      <c r="B38" s="124">
        <v>34</v>
      </c>
      <c r="C38" s="33">
        <v>45999</v>
      </c>
      <c r="D38" s="19" t="s">
        <v>162</v>
      </c>
      <c r="E38" s="45" t="s">
        <v>164</v>
      </c>
      <c r="F38" s="3">
        <v>272800</v>
      </c>
      <c r="G38" s="5">
        <f t="shared" si="6"/>
        <v>24800</v>
      </c>
      <c r="H38" s="3">
        <v>3150</v>
      </c>
      <c r="I38" s="3">
        <v>0</v>
      </c>
      <c r="J38" s="5">
        <f t="shared" ref="J38:J69" si="11">ROUNDDOWN(I38/1.1*0.1,1)</f>
        <v>0</v>
      </c>
      <c r="K38" s="3">
        <f t="shared" si="7"/>
        <v>3150</v>
      </c>
      <c r="L38" s="3">
        <v>0</v>
      </c>
      <c r="M38" s="3">
        <v>0</v>
      </c>
      <c r="N38" s="3">
        <f t="shared" si="8"/>
        <v>0</v>
      </c>
      <c r="O38" s="3">
        <f t="shared" si="9"/>
        <v>275950</v>
      </c>
      <c r="P38" s="3">
        <v>163900</v>
      </c>
      <c r="Q38" s="18">
        <f t="shared" si="10"/>
        <v>112050</v>
      </c>
      <c r="R38" s="55">
        <v>46000</v>
      </c>
      <c r="S38" s="8"/>
      <c r="T38" s="57" t="s">
        <v>80</v>
      </c>
      <c r="U38" s="58" t="s">
        <v>81</v>
      </c>
      <c r="V38" s="59" t="s">
        <v>165</v>
      </c>
    </row>
    <row r="39" spans="1:23" ht="25.5" thickBot="1" x14ac:dyDescent="0.25">
      <c r="A39" s="34">
        <v>46002</v>
      </c>
      <c r="B39" s="124">
        <v>35</v>
      </c>
      <c r="C39" s="33">
        <v>46000</v>
      </c>
      <c r="D39" s="19" t="s">
        <v>175</v>
      </c>
      <c r="E39" s="19" t="s">
        <v>379</v>
      </c>
      <c r="F39" s="3">
        <v>276210</v>
      </c>
      <c r="G39" s="5">
        <f t="shared" si="6"/>
        <v>25110</v>
      </c>
      <c r="H39" s="3">
        <v>6200</v>
      </c>
      <c r="I39" s="3">
        <v>12010</v>
      </c>
      <c r="J39" s="5">
        <f t="shared" si="11"/>
        <v>1091.8</v>
      </c>
      <c r="K39" s="3">
        <f t="shared" si="7"/>
        <v>18210</v>
      </c>
      <c r="L39" s="3">
        <v>0</v>
      </c>
      <c r="M39" s="3">
        <v>0</v>
      </c>
      <c r="N39" s="3">
        <f t="shared" si="8"/>
        <v>0</v>
      </c>
      <c r="O39" s="3">
        <f t="shared" si="9"/>
        <v>294420</v>
      </c>
      <c r="P39" s="3">
        <v>200000</v>
      </c>
      <c r="Q39" s="3">
        <f t="shared" si="10"/>
        <v>94420</v>
      </c>
      <c r="R39" s="23"/>
      <c r="S39" s="8"/>
      <c r="T39" s="46" t="s">
        <v>35</v>
      </c>
      <c r="U39" s="35" t="s">
        <v>70</v>
      </c>
    </row>
    <row r="40" spans="1:23" ht="17" thickBot="1" x14ac:dyDescent="0.25">
      <c r="B40" s="124">
        <v>36</v>
      </c>
      <c r="C40" s="33">
        <v>46001</v>
      </c>
      <c r="D40" s="19" t="s">
        <v>176</v>
      </c>
      <c r="E40" s="50" t="s">
        <v>380</v>
      </c>
      <c r="F40" s="3">
        <v>242000</v>
      </c>
      <c r="G40" s="5">
        <f t="shared" si="6"/>
        <v>22000</v>
      </c>
      <c r="H40" s="3">
        <v>0</v>
      </c>
      <c r="I40" s="3">
        <v>0</v>
      </c>
      <c r="J40" s="5">
        <f t="shared" si="11"/>
        <v>0</v>
      </c>
      <c r="K40" s="3">
        <f t="shared" si="7"/>
        <v>0</v>
      </c>
      <c r="L40" s="3">
        <v>0</v>
      </c>
      <c r="M40" s="3">
        <v>0</v>
      </c>
      <c r="N40" s="3">
        <f t="shared" si="8"/>
        <v>0</v>
      </c>
      <c r="O40" s="3">
        <f t="shared" si="9"/>
        <v>242000</v>
      </c>
      <c r="P40" s="3">
        <v>0</v>
      </c>
      <c r="Q40" s="3">
        <f t="shared" si="10"/>
        <v>242000</v>
      </c>
      <c r="R40" s="23"/>
      <c r="S40" s="8"/>
      <c r="T40" s="46" t="s">
        <v>80</v>
      </c>
      <c r="U40" s="36" t="s">
        <v>81</v>
      </c>
      <c r="V40" s="35" t="s">
        <v>177</v>
      </c>
    </row>
    <row r="41" spans="1:23" s="108" customFormat="1" ht="17" thickBot="1" x14ac:dyDescent="0.25">
      <c r="B41" s="124">
        <v>37</v>
      </c>
      <c r="C41" s="107">
        <v>45999</v>
      </c>
      <c r="D41" s="60" t="s">
        <v>178</v>
      </c>
      <c r="E41" s="60" t="s">
        <v>179</v>
      </c>
      <c r="F41" s="9">
        <v>102960</v>
      </c>
      <c r="G41" s="64">
        <f t="shared" si="6"/>
        <v>9360</v>
      </c>
      <c r="H41" s="9">
        <v>3300</v>
      </c>
      <c r="I41" s="9">
        <v>3730</v>
      </c>
      <c r="J41" s="64">
        <f t="shared" si="11"/>
        <v>339</v>
      </c>
      <c r="K41" s="9">
        <f t="shared" si="7"/>
        <v>7030</v>
      </c>
      <c r="L41" s="9">
        <v>0</v>
      </c>
      <c r="M41" s="9">
        <v>0</v>
      </c>
      <c r="N41" s="9">
        <f t="shared" si="8"/>
        <v>0</v>
      </c>
      <c r="O41" s="9">
        <f t="shared" si="9"/>
        <v>109990</v>
      </c>
      <c r="P41" s="9">
        <v>102960</v>
      </c>
      <c r="Q41" s="9">
        <f t="shared" si="10"/>
        <v>7030</v>
      </c>
      <c r="R41" s="23"/>
      <c r="S41" s="23"/>
      <c r="T41" s="115" t="s">
        <v>61</v>
      </c>
      <c r="U41" s="113" t="s">
        <v>62</v>
      </c>
      <c r="V41" s="114" t="s">
        <v>138</v>
      </c>
    </row>
    <row r="42" spans="1:23" s="108" customFormat="1" ht="17" thickBot="1" x14ac:dyDescent="0.25">
      <c r="B42" s="124">
        <v>38</v>
      </c>
      <c r="C42" s="107">
        <v>45999</v>
      </c>
      <c r="D42" s="60" t="s">
        <v>180</v>
      </c>
      <c r="E42" s="60" t="s">
        <v>179</v>
      </c>
      <c r="F42" s="9">
        <v>1160128</v>
      </c>
      <c r="G42" s="64">
        <f t="shared" si="6"/>
        <v>105466.1</v>
      </c>
      <c r="H42" s="9">
        <v>2800</v>
      </c>
      <c r="I42" s="9">
        <v>12770</v>
      </c>
      <c r="J42" s="64">
        <f t="shared" si="11"/>
        <v>1160.9000000000001</v>
      </c>
      <c r="K42" s="9">
        <f t="shared" si="7"/>
        <v>15570</v>
      </c>
      <c r="L42" s="9">
        <v>0</v>
      </c>
      <c r="M42" s="9">
        <v>0</v>
      </c>
      <c r="N42" s="9">
        <f t="shared" si="8"/>
        <v>0</v>
      </c>
      <c r="O42" s="9">
        <f t="shared" si="9"/>
        <v>1175698</v>
      </c>
      <c r="P42" s="9">
        <v>570000</v>
      </c>
      <c r="Q42" s="9">
        <f t="shared" si="10"/>
        <v>605698</v>
      </c>
      <c r="R42" s="23"/>
      <c r="S42" s="23"/>
      <c r="T42" s="115" t="s">
        <v>61</v>
      </c>
      <c r="U42" s="113" t="s">
        <v>62</v>
      </c>
      <c r="V42" s="114" t="s">
        <v>138</v>
      </c>
    </row>
    <row r="43" spans="1:23" ht="17" thickBot="1" x14ac:dyDescent="0.25">
      <c r="A43" s="34">
        <v>46007</v>
      </c>
      <c r="B43" s="124">
        <v>39</v>
      </c>
      <c r="C43" s="33">
        <v>46000</v>
      </c>
      <c r="D43" s="75" t="s">
        <v>181</v>
      </c>
      <c r="E43" s="75" t="s">
        <v>182</v>
      </c>
      <c r="F43" s="3">
        <v>108900</v>
      </c>
      <c r="G43" s="5">
        <f t="shared" si="6"/>
        <v>9900</v>
      </c>
      <c r="H43" s="3">
        <v>1550</v>
      </c>
      <c r="I43" s="3">
        <v>3380</v>
      </c>
      <c r="J43" s="5">
        <f t="shared" si="11"/>
        <v>307.2</v>
      </c>
      <c r="K43" s="3">
        <f t="shared" si="7"/>
        <v>4930</v>
      </c>
      <c r="L43" s="3">
        <v>0</v>
      </c>
      <c r="M43" s="3">
        <v>0</v>
      </c>
      <c r="N43" s="3">
        <f t="shared" si="8"/>
        <v>0</v>
      </c>
      <c r="O43" s="3">
        <f t="shared" si="9"/>
        <v>113830</v>
      </c>
      <c r="P43" s="3">
        <v>108900</v>
      </c>
      <c r="Q43" s="3">
        <f t="shared" si="10"/>
        <v>4930</v>
      </c>
      <c r="R43" s="55">
        <v>46002</v>
      </c>
      <c r="S43" s="8"/>
      <c r="T43" s="57" t="s">
        <v>61</v>
      </c>
      <c r="U43" s="59" t="s">
        <v>145</v>
      </c>
    </row>
    <row r="44" spans="1:23" ht="17" thickBot="1" x14ac:dyDescent="0.25">
      <c r="B44" s="124">
        <v>40</v>
      </c>
      <c r="C44" s="33">
        <v>46001</v>
      </c>
      <c r="D44" s="76" t="s">
        <v>183</v>
      </c>
      <c r="E44" s="76" t="s">
        <v>184</v>
      </c>
      <c r="F44" s="3">
        <v>125400</v>
      </c>
      <c r="G44" s="5">
        <f t="shared" si="6"/>
        <v>11400</v>
      </c>
      <c r="H44" s="3">
        <v>1650</v>
      </c>
      <c r="I44" s="3">
        <v>3490</v>
      </c>
      <c r="J44" s="5">
        <f t="shared" si="11"/>
        <v>317.2</v>
      </c>
      <c r="K44" s="3">
        <f t="shared" si="7"/>
        <v>5140</v>
      </c>
      <c r="L44" s="3">
        <v>0</v>
      </c>
      <c r="M44" s="3">
        <v>0</v>
      </c>
      <c r="N44" s="3">
        <f t="shared" si="8"/>
        <v>0</v>
      </c>
      <c r="O44" s="3">
        <f t="shared" si="9"/>
        <v>130540</v>
      </c>
      <c r="P44" s="3">
        <v>125400</v>
      </c>
      <c r="Q44" s="3">
        <f t="shared" si="10"/>
        <v>5140</v>
      </c>
      <c r="R44" s="23" t="s">
        <v>43</v>
      </c>
      <c r="S44" s="8"/>
      <c r="T44" s="46" t="s">
        <v>61</v>
      </c>
      <c r="U44" s="36" t="s">
        <v>145</v>
      </c>
      <c r="V44" s="35" t="s">
        <v>146</v>
      </c>
    </row>
    <row r="45" spans="1:23" s="108" customFormat="1" ht="17" thickBot="1" x14ac:dyDescent="0.25">
      <c r="B45" s="124">
        <v>41</v>
      </c>
      <c r="C45" s="107">
        <v>46001</v>
      </c>
      <c r="D45" s="110" t="s">
        <v>185</v>
      </c>
      <c r="E45" s="110" t="s">
        <v>186</v>
      </c>
      <c r="F45" s="9">
        <v>812900</v>
      </c>
      <c r="G45" s="64">
        <f t="shared" si="6"/>
        <v>73900</v>
      </c>
      <c r="H45" s="9">
        <v>5900</v>
      </c>
      <c r="I45" s="9">
        <v>68650</v>
      </c>
      <c r="J45" s="64">
        <f t="shared" si="11"/>
        <v>6240.9</v>
      </c>
      <c r="K45" s="9">
        <f t="shared" si="7"/>
        <v>74550</v>
      </c>
      <c r="L45" s="9">
        <v>0</v>
      </c>
      <c r="M45" s="9">
        <v>0</v>
      </c>
      <c r="N45" s="9">
        <f t="shared" si="8"/>
        <v>0</v>
      </c>
      <c r="O45" s="9">
        <f t="shared" si="9"/>
        <v>887450</v>
      </c>
      <c r="P45" s="9">
        <v>500000</v>
      </c>
      <c r="Q45" s="9">
        <f t="shared" si="10"/>
        <v>387450</v>
      </c>
      <c r="R45" s="55">
        <v>46006</v>
      </c>
      <c r="S45" s="23"/>
      <c r="T45" s="115" t="s">
        <v>84</v>
      </c>
      <c r="U45" s="113" t="s">
        <v>85</v>
      </c>
      <c r="V45" s="114" t="s">
        <v>142</v>
      </c>
    </row>
    <row r="46" spans="1:23" ht="17" thickBot="1" x14ac:dyDescent="0.25">
      <c r="B46" s="124">
        <v>42</v>
      </c>
      <c r="C46" s="33">
        <v>46001</v>
      </c>
      <c r="D46" s="75" t="s">
        <v>187</v>
      </c>
      <c r="E46" s="75" t="s">
        <v>188</v>
      </c>
      <c r="F46" s="3">
        <v>303600</v>
      </c>
      <c r="G46" s="5">
        <f t="shared" si="6"/>
        <v>27600</v>
      </c>
      <c r="H46" s="3">
        <v>3150</v>
      </c>
      <c r="I46" s="3">
        <v>0</v>
      </c>
      <c r="J46" s="5">
        <f t="shared" si="11"/>
        <v>0</v>
      </c>
      <c r="K46" s="3">
        <f t="shared" si="7"/>
        <v>3150</v>
      </c>
      <c r="L46" s="3">
        <v>0</v>
      </c>
      <c r="M46" s="3">
        <v>0</v>
      </c>
      <c r="N46" s="3">
        <f t="shared" si="8"/>
        <v>0</v>
      </c>
      <c r="O46" s="3">
        <f t="shared" si="9"/>
        <v>306750</v>
      </c>
      <c r="P46" s="3">
        <v>0</v>
      </c>
      <c r="Q46" s="3">
        <f t="shared" si="10"/>
        <v>306750</v>
      </c>
      <c r="R46" s="55">
        <v>46006</v>
      </c>
      <c r="S46" s="8"/>
      <c r="T46" s="66" t="s">
        <v>207</v>
      </c>
      <c r="U46" s="58" t="s">
        <v>117</v>
      </c>
      <c r="V46" s="59" t="s">
        <v>165</v>
      </c>
      <c r="W46" s="67" t="s">
        <v>189</v>
      </c>
    </row>
    <row r="47" spans="1:23" s="108" customFormat="1" ht="17" thickBot="1" x14ac:dyDescent="0.25">
      <c r="B47" s="124">
        <v>43</v>
      </c>
      <c r="C47" s="107">
        <v>46002</v>
      </c>
      <c r="D47" s="117" t="s">
        <v>190</v>
      </c>
      <c r="E47" s="110" t="s">
        <v>191</v>
      </c>
      <c r="F47" s="9">
        <v>97900</v>
      </c>
      <c r="G47" s="64">
        <f t="shared" si="6"/>
        <v>8900</v>
      </c>
      <c r="H47" s="9">
        <v>2700</v>
      </c>
      <c r="I47" s="9">
        <v>4540</v>
      </c>
      <c r="J47" s="64">
        <f t="shared" si="11"/>
        <v>412.7</v>
      </c>
      <c r="K47" s="9">
        <f t="shared" si="7"/>
        <v>7240</v>
      </c>
      <c r="L47" s="9">
        <v>0</v>
      </c>
      <c r="M47" s="9">
        <v>0</v>
      </c>
      <c r="N47" s="9">
        <f t="shared" si="8"/>
        <v>0</v>
      </c>
      <c r="O47" s="9">
        <f t="shared" si="9"/>
        <v>105140</v>
      </c>
      <c r="P47" s="9">
        <v>97900</v>
      </c>
      <c r="Q47" s="9">
        <f t="shared" si="10"/>
        <v>7240</v>
      </c>
      <c r="R47" s="23" t="s">
        <v>43</v>
      </c>
      <c r="S47" s="23"/>
      <c r="T47" s="115" t="s">
        <v>95</v>
      </c>
      <c r="U47" s="113" t="s">
        <v>117</v>
      </c>
      <c r="V47" s="114" t="s">
        <v>97</v>
      </c>
    </row>
    <row r="48" spans="1:23" ht="17" thickBot="1" x14ac:dyDescent="0.25">
      <c r="B48" s="124">
        <v>44</v>
      </c>
      <c r="C48" s="33">
        <v>46002</v>
      </c>
      <c r="D48" s="76" t="s">
        <v>192</v>
      </c>
      <c r="E48" s="77" t="s">
        <v>193</v>
      </c>
      <c r="F48" s="71">
        <v>185900</v>
      </c>
      <c r="G48" s="5">
        <f t="shared" si="6"/>
        <v>16900</v>
      </c>
      <c r="H48" s="3">
        <v>8600</v>
      </c>
      <c r="I48" s="3">
        <v>12760</v>
      </c>
      <c r="J48" s="5">
        <f t="shared" si="11"/>
        <v>1160</v>
      </c>
      <c r="K48" s="3">
        <f t="shared" si="7"/>
        <v>21360</v>
      </c>
      <c r="L48" s="3">
        <v>0</v>
      </c>
      <c r="M48" s="3">
        <v>0</v>
      </c>
      <c r="N48" s="3">
        <f t="shared" si="8"/>
        <v>0</v>
      </c>
      <c r="O48" s="3">
        <f t="shared" si="9"/>
        <v>207260</v>
      </c>
      <c r="P48" s="3">
        <v>185900</v>
      </c>
      <c r="Q48" s="3">
        <f t="shared" si="10"/>
        <v>21360</v>
      </c>
      <c r="R48" s="23" t="s">
        <v>43</v>
      </c>
      <c r="S48" s="8"/>
      <c r="T48" s="46" t="s">
        <v>29</v>
      </c>
      <c r="U48" s="36" t="s">
        <v>30</v>
      </c>
      <c r="V48" s="35" t="s">
        <v>157</v>
      </c>
    </row>
    <row r="49" spans="1:23" ht="17" thickBot="1" x14ac:dyDescent="0.25">
      <c r="B49" s="124">
        <v>45</v>
      </c>
      <c r="C49" s="33">
        <v>46002</v>
      </c>
      <c r="D49" s="75" t="s">
        <v>195</v>
      </c>
      <c r="E49" s="78" t="s">
        <v>194</v>
      </c>
      <c r="F49" s="72">
        <v>287100</v>
      </c>
      <c r="G49" s="5">
        <f t="shared" si="6"/>
        <v>26100</v>
      </c>
      <c r="H49" s="3">
        <v>300</v>
      </c>
      <c r="I49" s="3">
        <v>11050</v>
      </c>
      <c r="J49" s="5">
        <f t="shared" si="11"/>
        <v>1004.5</v>
      </c>
      <c r="K49" s="3">
        <f t="shared" si="7"/>
        <v>11350</v>
      </c>
      <c r="L49" s="3">
        <v>0</v>
      </c>
      <c r="M49" s="3">
        <v>0</v>
      </c>
      <c r="N49" s="3">
        <f t="shared" si="8"/>
        <v>0</v>
      </c>
      <c r="O49" s="3">
        <f t="shared" si="9"/>
        <v>298450</v>
      </c>
      <c r="P49" s="3">
        <v>287100</v>
      </c>
      <c r="Q49" s="3">
        <f t="shared" si="10"/>
        <v>11350</v>
      </c>
      <c r="R49" s="55">
        <v>46006</v>
      </c>
      <c r="S49" s="8"/>
      <c r="T49" s="57" t="s">
        <v>35</v>
      </c>
      <c r="U49" s="58" t="s">
        <v>121</v>
      </c>
      <c r="V49" s="59" t="s">
        <v>97</v>
      </c>
    </row>
    <row r="50" spans="1:23" ht="17" thickBot="1" x14ac:dyDescent="0.25">
      <c r="B50" s="124">
        <v>46</v>
      </c>
      <c r="C50" s="33">
        <v>46002</v>
      </c>
      <c r="D50" s="76" t="s">
        <v>196</v>
      </c>
      <c r="E50" s="76" t="s">
        <v>197</v>
      </c>
      <c r="F50" s="3">
        <v>394900</v>
      </c>
      <c r="G50" s="5">
        <f t="shared" si="6"/>
        <v>35900</v>
      </c>
      <c r="H50" s="3">
        <v>700</v>
      </c>
      <c r="I50" s="3">
        <v>22730</v>
      </c>
      <c r="J50" s="5">
        <f t="shared" si="11"/>
        <v>2066.3000000000002</v>
      </c>
      <c r="K50" s="3">
        <f t="shared" si="7"/>
        <v>23430</v>
      </c>
      <c r="L50" s="3">
        <v>0</v>
      </c>
      <c r="M50" s="3">
        <v>0</v>
      </c>
      <c r="N50" s="3">
        <f t="shared" si="8"/>
        <v>0</v>
      </c>
      <c r="O50" s="3">
        <f t="shared" si="9"/>
        <v>418330</v>
      </c>
      <c r="P50" s="3">
        <v>300000</v>
      </c>
      <c r="Q50" s="3">
        <f t="shared" si="10"/>
        <v>118330</v>
      </c>
      <c r="R50" s="23" t="s">
        <v>43</v>
      </c>
      <c r="S50" s="8"/>
      <c r="T50" s="46" t="s">
        <v>29</v>
      </c>
      <c r="U50" s="36" t="s">
        <v>30</v>
      </c>
      <c r="V50" s="35" t="s">
        <v>198</v>
      </c>
    </row>
    <row r="51" spans="1:23" ht="17" thickBot="1" x14ac:dyDescent="0.25">
      <c r="B51" s="124">
        <v>47</v>
      </c>
      <c r="C51" s="33">
        <v>46003</v>
      </c>
      <c r="D51" s="76" t="s">
        <v>199</v>
      </c>
      <c r="E51" s="76" t="s">
        <v>200</v>
      </c>
      <c r="F51" s="3">
        <v>413127</v>
      </c>
      <c r="G51" s="5">
        <f t="shared" si="6"/>
        <v>37557</v>
      </c>
      <c r="H51" s="3">
        <v>8200</v>
      </c>
      <c r="I51" s="3">
        <v>22320</v>
      </c>
      <c r="J51" s="5">
        <f t="shared" si="11"/>
        <v>2029</v>
      </c>
      <c r="K51" s="3">
        <f t="shared" si="7"/>
        <v>30520</v>
      </c>
      <c r="L51" s="3">
        <v>0</v>
      </c>
      <c r="M51" s="3">
        <v>0</v>
      </c>
      <c r="N51" s="3">
        <f t="shared" si="8"/>
        <v>0</v>
      </c>
      <c r="O51" s="3">
        <f t="shared" si="9"/>
        <v>443647</v>
      </c>
      <c r="P51" s="3">
        <v>100000</v>
      </c>
      <c r="Q51" s="3">
        <f t="shared" si="10"/>
        <v>343647</v>
      </c>
      <c r="R51" s="23" t="s">
        <v>43</v>
      </c>
      <c r="S51" s="8"/>
      <c r="T51" s="46" t="s">
        <v>35</v>
      </c>
      <c r="U51" s="35" t="s">
        <v>36</v>
      </c>
    </row>
    <row r="52" spans="1:23" ht="17" thickBot="1" x14ac:dyDescent="0.25">
      <c r="B52" s="124">
        <v>48</v>
      </c>
      <c r="C52" s="33">
        <v>46003</v>
      </c>
      <c r="D52" s="75" t="s">
        <v>201</v>
      </c>
      <c r="E52" s="79" t="s">
        <v>202</v>
      </c>
      <c r="F52" s="3">
        <v>163900</v>
      </c>
      <c r="G52" s="5">
        <f t="shared" si="6"/>
        <v>14900</v>
      </c>
      <c r="H52" s="3">
        <v>2600</v>
      </c>
      <c r="I52" s="3">
        <v>3270</v>
      </c>
      <c r="J52" s="5">
        <f t="shared" si="11"/>
        <v>297.2</v>
      </c>
      <c r="K52" s="3">
        <f t="shared" si="7"/>
        <v>5870</v>
      </c>
      <c r="L52" s="3">
        <v>0</v>
      </c>
      <c r="M52" s="3">
        <v>0</v>
      </c>
      <c r="N52" s="3">
        <f t="shared" si="8"/>
        <v>0</v>
      </c>
      <c r="O52" s="3">
        <f t="shared" si="9"/>
        <v>169770</v>
      </c>
      <c r="P52" s="3">
        <v>163900</v>
      </c>
      <c r="Q52" s="3">
        <f t="shared" si="10"/>
        <v>5870</v>
      </c>
      <c r="R52" s="55">
        <v>46003</v>
      </c>
      <c r="S52" s="8"/>
      <c r="T52" s="57" t="s">
        <v>61</v>
      </c>
      <c r="U52" s="58" t="s">
        <v>62</v>
      </c>
      <c r="V52" s="59" t="s">
        <v>112</v>
      </c>
    </row>
    <row r="53" spans="1:23" ht="17" thickBot="1" x14ac:dyDescent="0.25">
      <c r="B53" s="124">
        <v>49</v>
      </c>
      <c r="C53" s="33">
        <v>46003</v>
      </c>
      <c r="D53" s="75" t="s">
        <v>203</v>
      </c>
      <c r="E53" s="75" t="s">
        <v>204</v>
      </c>
      <c r="F53" s="3">
        <v>64900</v>
      </c>
      <c r="G53" s="5">
        <f t="shared" si="6"/>
        <v>5900</v>
      </c>
      <c r="H53" s="3">
        <v>0</v>
      </c>
      <c r="I53" s="3">
        <v>3000</v>
      </c>
      <c r="J53" s="5">
        <f t="shared" si="11"/>
        <v>272.7</v>
      </c>
      <c r="K53" s="3">
        <f t="shared" si="7"/>
        <v>3000</v>
      </c>
      <c r="L53" s="3">
        <v>0</v>
      </c>
      <c r="M53" s="3">
        <v>0</v>
      </c>
      <c r="N53" s="3">
        <f t="shared" si="8"/>
        <v>0</v>
      </c>
      <c r="O53" s="3">
        <f t="shared" si="9"/>
        <v>67900</v>
      </c>
      <c r="P53" s="3">
        <v>64900</v>
      </c>
      <c r="Q53" s="3">
        <f t="shared" si="10"/>
        <v>3000</v>
      </c>
      <c r="R53" s="55">
        <v>46006</v>
      </c>
      <c r="S53" s="8"/>
      <c r="T53" s="57" t="s">
        <v>29</v>
      </c>
      <c r="U53" s="58" t="s">
        <v>30</v>
      </c>
      <c r="V53" s="59" t="s">
        <v>58</v>
      </c>
    </row>
    <row r="54" spans="1:23" ht="17" thickBot="1" x14ac:dyDescent="0.25">
      <c r="B54" s="124">
        <v>50</v>
      </c>
      <c r="C54" s="33">
        <v>46004</v>
      </c>
      <c r="D54" s="75" t="s">
        <v>206</v>
      </c>
      <c r="E54" s="75" t="s">
        <v>205</v>
      </c>
      <c r="F54" s="3">
        <v>97900</v>
      </c>
      <c r="G54" s="5">
        <f t="shared" si="6"/>
        <v>8900</v>
      </c>
      <c r="H54" s="3">
        <v>1050</v>
      </c>
      <c r="I54" s="3">
        <v>3390</v>
      </c>
      <c r="J54" s="5">
        <f t="shared" si="11"/>
        <v>308.10000000000002</v>
      </c>
      <c r="K54" s="3">
        <f t="shared" si="7"/>
        <v>4440</v>
      </c>
      <c r="L54" s="3">
        <v>0</v>
      </c>
      <c r="M54" s="3">
        <v>0</v>
      </c>
      <c r="N54" s="3">
        <f t="shared" si="8"/>
        <v>0</v>
      </c>
      <c r="O54" s="3">
        <f t="shared" si="9"/>
        <v>102340</v>
      </c>
      <c r="P54" s="3">
        <v>50000</v>
      </c>
      <c r="Q54" s="3">
        <f t="shared" si="10"/>
        <v>52340</v>
      </c>
      <c r="R54" s="55">
        <v>46006</v>
      </c>
      <c r="S54" s="8"/>
      <c r="T54" s="57" t="s">
        <v>35</v>
      </c>
      <c r="U54" s="59" t="s">
        <v>36</v>
      </c>
      <c r="W54" s="67" t="s">
        <v>208</v>
      </c>
    </row>
    <row r="55" spans="1:23" ht="17" thickBot="1" x14ac:dyDescent="0.25">
      <c r="B55" s="124">
        <v>51</v>
      </c>
      <c r="C55" s="33">
        <v>46005</v>
      </c>
      <c r="D55" s="76" t="s">
        <v>209</v>
      </c>
      <c r="E55" s="76" t="s">
        <v>210</v>
      </c>
      <c r="F55" s="3">
        <v>44000</v>
      </c>
      <c r="G55" s="5">
        <f t="shared" si="6"/>
        <v>4000</v>
      </c>
      <c r="H55" s="3">
        <v>0</v>
      </c>
      <c r="I55" s="3">
        <v>0</v>
      </c>
      <c r="J55" s="5">
        <f t="shared" si="11"/>
        <v>0</v>
      </c>
      <c r="K55" s="3">
        <f t="shared" si="7"/>
        <v>0</v>
      </c>
      <c r="L55" s="3">
        <v>0</v>
      </c>
      <c r="M55" s="3">
        <v>0</v>
      </c>
      <c r="N55" s="3">
        <f t="shared" si="8"/>
        <v>0</v>
      </c>
      <c r="O55" s="3">
        <f t="shared" si="9"/>
        <v>44000</v>
      </c>
      <c r="P55" s="3">
        <v>44000</v>
      </c>
      <c r="Q55" s="3">
        <f t="shared" si="10"/>
        <v>0</v>
      </c>
      <c r="R55" s="23"/>
      <c r="S55" s="8"/>
      <c r="T55" s="46" t="s">
        <v>29</v>
      </c>
      <c r="U55" s="36" t="s">
        <v>111</v>
      </c>
      <c r="V55" s="35" t="s">
        <v>87</v>
      </c>
    </row>
    <row r="56" spans="1:23" ht="17" thickBot="1" x14ac:dyDescent="0.25">
      <c r="B56" s="124">
        <v>52</v>
      </c>
      <c r="C56" s="33">
        <v>46006</v>
      </c>
      <c r="D56" s="76" t="s">
        <v>211</v>
      </c>
      <c r="E56" s="77" t="s">
        <v>212</v>
      </c>
      <c r="F56" s="3">
        <v>303600</v>
      </c>
      <c r="G56" s="5">
        <f t="shared" si="6"/>
        <v>27600</v>
      </c>
      <c r="H56" s="3">
        <v>3300</v>
      </c>
      <c r="I56" s="3"/>
      <c r="J56" s="5">
        <f t="shared" si="11"/>
        <v>0</v>
      </c>
      <c r="K56" s="3">
        <f t="shared" si="7"/>
        <v>3300</v>
      </c>
      <c r="L56" s="3">
        <v>0</v>
      </c>
      <c r="M56" s="3">
        <v>0</v>
      </c>
      <c r="N56" s="3">
        <f t="shared" si="8"/>
        <v>0</v>
      </c>
      <c r="O56" s="3">
        <f t="shared" si="9"/>
        <v>306900</v>
      </c>
      <c r="P56" s="3">
        <v>0</v>
      </c>
      <c r="Q56" s="3">
        <f t="shared" si="10"/>
        <v>306900</v>
      </c>
      <c r="R56" s="23" t="s">
        <v>43</v>
      </c>
      <c r="S56" s="8"/>
      <c r="T56" s="46" t="s">
        <v>80</v>
      </c>
      <c r="U56" s="36" t="s">
        <v>126</v>
      </c>
      <c r="V56" s="35" t="s">
        <v>82</v>
      </c>
    </row>
    <row r="57" spans="1:23" s="108" customFormat="1" ht="17" thickBot="1" x14ac:dyDescent="0.25">
      <c r="B57" s="124">
        <v>53</v>
      </c>
      <c r="C57" s="107">
        <v>46006</v>
      </c>
      <c r="D57" s="110" t="s">
        <v>213</v>
      </c>
      <c r="E57" s="110" t="s">
        <v>214</v>
      </c>
      <c r="F57" s="116">
        <v>167310</v>
      </c>
      <c r="G57" s="64">
        <f t="shared" si="6"/>
        <v>15210</v>
      </c>
      <c r="H57" s="9">
        <v>5150</v>
      </c>
      <c r="I57" s="9">
        <v>5670</v>
      </c>
      <c r="J57" s="64">
        <f t="shared" si="11"/>
        <v>515.4</v>
      </c>
      <c r="K57" s="9">
        <f t="shared" si="7"/>
        <v>10820</v>
      </c>
      <c r="L57" s="9">
        <v>0</v>
      </c>
      <c r="M57" s="9">
        <v>0</v>
      </c>
      <c r="N57" s="9">
        <f t="shared" si="8"/>
        <v>0</v>
      </c>
      <c r="O57" s="9">
        <f t="shared" si="9"/>
        <v>178130</v>
      </c>
      <c r="P57" s="9">
        <v>167310</v>
      </c>
      <c r="Q57" s="9">
        <f t="shared" si="10"/>
        <v>10820</v>
      </c>
      <c r="R57" s="23" t="s">
        <v>43</v>
      </c>
      <c r="S57" s="23"/>
      <c r="T57" s="115" t="s">
        <v>35</v>
      </c>
      <c r="U57" s="113" t="s">
        <v>121</v>
      </c>
      <c r="V57" s="114" t="s">
        <v>77</v>
      </c>
    </row>
    <row r="58" spans="1:23" s="108" customFormat="1" ht="17" thickBot="1" x14ac:dyDescent="0.25">
      <c r="B58" s="124">
        <v>54</v>
      </c>
      <c r="C58" s="107">
        <v>46006</v>
      </c>
      <c r="D58" s="110" t="s">
        <v>215</v>
      </c>
      <c r="E58" s="110" t="s">
        <v>216</v>
      </c>
      <c r="F58" s="9">
        <v>303600</v>
      </c>
      <c r="G58" s="64">
        <f t="shared" si="6"/>
        <v>27600</v>
      </c>
      <c r="H58" s="9">
        <v>3300</v>
      </c>
      <c r="I58" s="9"/>
      <c r="J58" s="64">
        <f t="shared" si="11"/>
        <v>0</v>
      </c>
      <c r="K58" s="9">
        <f t="shared" si="7"/>
        <v>3300</v>
      </c>
      <c r="L58" s="9">
        <v>0</v>
      </c>
      <c r="M58" s="9">
        <v>0</v>
      </c>
      <c r="N58" s="9">
        <f t="shared" si="8"/>
        <v>0</v>
      </c>
      <c r="O58" s="9">
        <f t="shared" si="9"/>
        <v>306900</v>
      </c>
      <c r="P58" s="9">
        <v>0</v>
      </c>
      <c r="Q58" s="9">
        <f t="shared" si="10"/>
        <v>306900</v>
      </c>
      <c r="R58" s="23" t="s">
        <v>43</v>
      </c>
      <c r="S58" s="23"/>
      <c r="T58" s="115" t="s">
        <v>80</v>
      </c>
      <c r="U58" s="113" t="s">
        <v>126</v>
      </c>
      <c r="V58" s="114" t="s">
        <v>82</v>
      </c>
    </row>
    <row r="59" spans="1:23" ht="17" thickBot="1" x14ac:dyDescent="0.25">
      <c r="A59" s="34">
        <v>46008</v>
      </c>
      <c r="B59" s="124">
        <v>55</v>
      </c>
      <c r="C59" s="33">
        <v>46007</v>
      </c>
      <c r="D59" s="76" t="s">
        <v>217</v>
      </c>
      <c r="E59" s="76" t="s">
        <v>218</v>
      </c>
      <c r="F59" s="3">
        <v>271260</v>
      </c>
      <c r="G59" s="5">
        <f t="shared" si="6"/>
        <v>24660</v>
      </c>
      <c r="H59" s="3">
        <v>600</v>
      </c>
      <c r="I59" s="3">
        <v>6980</v>
      </c>
      <c r="J59" s="5">
        <f t="shared" si="11"/>
        <v>634.5</v>
      </c>
      <c r="K59" s="3">
        <f t="shared" si="7"/>
        <v>7580</v>
      </c>
      <c r="L59" s="3">
        <v>0</v>
      </c>
      <c r="M59" s="3">
        <v>0</v>
      </c>
      <c r="N59" s="3">
        <f t="shared" si="8"/>
        <v>0</v>
      </c>
      <c r="O59" s="3">
        <f t="shared" si="9"/>
        <v>278840</v>
      </c>
      <c r="P59" s="3">
        <v>100000</v>
      </c>
      <c r="Q59" s="3">
        <f t="shared" si="10"/>
        <v>178840</v>
      </c>
      <c r="R59" s="23" t="s">
        <v>43</v>
      </c>
      <c r="S59" s="8"/>
      <c r="T59" s="46" t="s">
        <v>35</v>
      </c>
      <c r="U59" s="36" t="s">
        <v>36</v>
      </c>
      <c r="V59" s="35" t="s">
        <v>112</v>
      </c>
      <c r="W59" s="49" t="s">
        <v>219</v>
      </c>
    </row>
    <row r="60" spans="1:23" ht="17" thickBot="1" x14ac:dyDescent="0.25">
      <c r="B60" s="124">
        <v>56</v>
      </c>
      <c r="C60" s="33">
        <v>46007</v>
      </c>
      <c r="D60" s="76" t="s">
        <v>220</v>
      </c>
      <c r="E60" s="76" t="s">
        <v>221</v>
      </c>
      <c r="F60" s="3">
        <v>191400</v>
      </c>
      <c r="G60" s="5">
        <f t="shared" si="6"/>
        <v>17400</v>
      </c>
      <c r="H60" s="3">
        <v>3300</v>
      </c>
      <c r="I60" s="3">
        <v>8670</v>
      </c>
      <c r="J60" s="5">
        <f t="shared" si="11"/>
        <v>788.1</v>
      </c>
      <c r="K60" s="3">
        <f t="shared" si="7"/>
        <v>11970</v>
      </c>
      <c r="L60" s="3">
        <v>0</v>
      </c>
      <c r="M60" s="3">
        <v>0</v>
      </c>
      <c r="N60" s="3">
        <f t="shared" si="8"/>
        <v>0</v>
      </c>
      <c r="O60" s="3">
        <f t="shared" si="9"/>
        <v>203370</v>
      </c>
      <c r="P60" s="3">
        <v>191400</v>
      </c>
      <c r="Q60" s="3">
        <f t="shared" si="10"/>
        <v>11970</v>
      </c>
      <c r="R60" s="55">
        <v>46007</v>
      </c>
      <c r="S60" s="8" t="s">
        <v>222</v>
      </c>
      <c r="T60" s="46" t="s">
        <v>35</v>
      </c>
      <c r="U60" s="35" t="s">
        <v>121</v>
      </c>
    </row>
    <row r="61" spans="1:23" ht="17" thickBot="1" x14ac:dyDescent="0.25">
      <c r="B61" s="124">
        <v>57</v>
      </c>
      <c r="C61" s="33">
        <v>46007</v>
      </c>
      <c r="D61" s="76" t="s">
        <v>237</v>
      </c>
      <c r="E61" s="76" t="s">
        <v>238</v>
      </c>
      <c r="F61" s="3">
        <v>152900</v>
      </c>
      <c r="G61" s="5">
        <f t="shared" si="6"/>
        <v>13900</v>
      </c>
      <c r="H61" s="3">
        <v>2750</v>
      </c>
      <c r="I61" s="3">
        <v>5370</v>
      </c>
      <c r="J61" s="5">
        <f t="shared" si="11"/>
        <v>488.1</v>
      </c>
      <c r="K61" s="3">
        <f t="shared" si="7"/>
        <v>8120</v>
      </c>
      <c r="L61" s="3">
        <v>0</v>
      </c>
      <c r="M61" s="3">
        <v>0</v>
      </c>
      <c r="N61" s="3">
        <f t="shared" si="8"/>
        <v>0</v>
      </c>
      <c r="O61" s="3">
        <f t="shared" si="9"/>
        <v>161020</v>
      </c>
      <c r="P61" s="3">
        <v>152900</v>
      </c>
      <c r="Q61" s="3">
        <f t="shared" si="10"/>
        <v>8120</v>
      </c>
      <c r="R61" s="23" t="s">
        <v>43</v>
      </c>
      <c r="S61" s="8"/>
      <c r="T61" s="46" t="s">
        <v>61</v>
      </c>
      <c r="U61" s="36" t="s">
        <v>145</v>
      </c>
      <c r="V61" s="35" t="s">
        <v>71</v>
      </c>
    </row>
    <row r="62" spans="1:23" ht="17" thickBot="1" x14ac:dyDescent="0.25">
      <c r="B62" s="124">
        <v>58</v>
      </c>
      <c r="C62" s="33">
        <v>46008</v>
      </c>
      <c r="D62" s="76" t="s">
        <v>239</v>
      </c>
      <c r="E62" s="77" t="s">
        <v>240</v>
      </c>
      <c r="F62" s="3">
        <v>108900</v>
      </c>
      <c r="G62" s="5">
        <f t="shared" si="6"/>
        <v>9900</v>
      </c>
      <c r="H62" s="3">
        <v>1950</v>
      </c>
      <c r="I62" s="3">
        <v>3560</v>
      </c>
      <c r="J62" s="5">
        <f t="shared" si="11"/>
        <v>323.60000000000002</v>
      </c>
      <c r="K62" s="3">
        <f t="shared" si="7"/>
        <v>5510</v>
      </c>
      <c r="L62" s="3">
        <v>0</v>
      </c>
      <c r="M62" s="3">
        <v>0</v>
      </c>
      <c r="N62" s="3">
        <f t="shared" si="8"/>
        <v>0</v>
      </c>
      <c r="O62" s="3">
        <f t="shared" si="9"/>
        <v>114410</v>
      </c>
      <c r="P62" s="3">
        <v>108900</v>
      </c>
      <c r="Q62" s="3">
        <f t="shared" si="10"/>
        <v>5510</v>
      </c>
      <c r="R62" s="23" t="s">
        <v>43</v>
      </c>
      <c r="S62" s="8"/>
      <c r="T62" s="46" t="s">
        <v>35</v>
      </c>
      <c r="U62" s="35" t="s">
        <v>36</v>
      </c>
    </row>
    <row r="63" spans="1:23" ht="17" thickBot="1" x14ac:dyDescent="0.25">
      <c r="A63" s="34">
        <v>46009</v>
      </c>
      <c r="B63" s="124">
        <v>59</v>
      </c>
      <c r="C63" s="33">
        <v>46000</v>
      </c>
      <c r="D63" s="76" t="s">
        <v>241</v>
      </c>
      <c r="E63" s="77" t="s">
        <v>242</v>
      </c>
      <c r="F63" s="71">
        <v>55000</v>
      </c>
      <c r="G63" s="5">
        <f t="shared" si="6"/>
        <v>5000</v>
      </c>
      <c r="H63" s="3">
        <v>1800</v>
      </c>
      <c r="I63" s="3">
        <v>2010</v>
      </c>
      <c r="J63" s="5">
        <f t="shared" si="11"/>
        <v>182.7</v>
      </c>
      <c r="K63" s="3">
        <f t="shared" si="7"/>
        <v>3810</v>
      </c>
      <c r="L63" s="3">
        <v>0</v>
      </c>
      <c r="M63" s="3">
        <v>0</v>
      </c>
      <c r="N63" s="3">
        <f t="shared" si="8"/>
        <v>0</v>
      </c>
      <c r="O63" s="3">
        <f t="shared" si="9"/>
        <v>58810</v>
      </c>
      <c r="P63" s="3">
        <v>100000</v>
      </c>
      <c r="Q63" s="3">
        <f t="shared" si="10"/>
        <v>-41190</v>
      </c>
      <c r="R63" s="23"/>
      <c r="S63" s="8"/>
      <c r="T63" s="46" t="s">
        <v>95</v>
      </c>
      <c r="U63" s="36" t="s">
        <v>96</v>
      </c>
      <c r="V63" s="35" t="s">
        <v>112</v>
      </c>
    </row>
    <row r="64" spans="1:23" ht="17" thickBot="1" x14ac:dyDescent="0.25">
      <c r="A64" s="34">
        <v>46013</v>
      </c>
      <c r="B64" s="124">
        <v>60</v>
      </c>
      <c r="C64" s="33">
        <v>46008</v>
      </c>
      <c r="D64" s="76" t="s">
        <v>243</v>
      </c>
      <c r="E64" s="76" t="s">
        <v>381</v>
      </c>
      <c r="F64" s="3">
        <v>429000</v>
      </c>
      <c r="G64" s="5">
        <f t="shared" si="6"/>
        <v>39000</v>
      </c>
      <c r="H64" s="3">
        <v>4500</v>
      </c>
      <c r="I64" s="3">
        <v>6620</v>
      </c>
      <c r="J64" s="5">
        <f t="shared" si="11"/>
        <v>601.79999999999995</v>
      </c>
      <c r="K64" s="3">
        <f t="shared" si="7"/>
        <v>11120</v>
      </c>
      <c r="L64" s="3">
        <v>0</v>
      </c>
      <c r="M64" s="3">
        <v>0</v>
      </c>
      <c r="N64" s="3">
        <f t="shared" si="8"/>
        <v>0</v>
      </c>
      <c r="O64" s="3">
        <f t="shared" si="9"/>
        <v>440120</v>
      </c>
      <c r="P64" s="3">
        <v>200000</v>
      </c>
      <c r="Q64" s="3">
        <f t="shared" si="10"/>
        <v>240120</v>
      </c>
      <c r="R64" s="23" t="s">
        <v>43</v>
      </c>
      <c r="S64" s="8"/>
      <c r="T64" s="46" t="s">
        <v>35</v>
      </c>
      <c r="U64" s="36" t="s">
        <v>70</v>
      </c>
      <c r="V64" s="35" t="s">
        <v>121</v>
      </c>
    </row>
    <row r="65" spans="2:23" ht="17" thickBot="1" x14ac:dyDescent="0.25">
      <c r="B65" s="124">
        <v>61</v>
      </c>
      <c r="C65" s="33">
        <v>46008</v>
      </c>
      <c r="D65" s="75" t="s">
        <v>244</v>
      </c>
      <c r="E65" s="75" t="s">
        <v>245</v>
      </c>
      <c r="F65" s="3">
        <v>291060</v>
      </c>
      <c r="G65" s="5">
        <f t="shared" si="6"/>
        <v>26460</v>
      </c>
      <c r="H65" s="3">
        <v>5550</v>
      </c>
      <c r="I65" s="3">
        <v>6730</v>
      </c>
      <c r="J65" s="5">
        <f t="shared" si="11"/>
        <v>611.79999999999995</v>
      </c>
      <c r="K65" s="3">
        <f t="shared" si="7"/>
        <v>12280</v>
      </c>
      <c r="L65" s="3">
        <v>0</v>
      </c>
      <c r="M65" s="3">
        <v>0</v>
      </c>
      <c r="N65" s="3">
        <f t="shared" si="8"/>
        <v>0</v>
      </c>
      <c r="O65" s="3">
        <f t="shared" si="9"/>
        <v>303340</v>
      </c>
      <c r="P65" s="3">
        <v>200000</v>
      </c>
      <c r="Q65" s="3">
        <f t="shared" si="10"/>
        <v>103340</v>
      </c>
      <c r="R65" s="23" t="s">
        <v>43</v>
      </c>
      <c r="S65" s="8"/>
      <c r="T65" s="57" t="s">
        <v>35</v>
      </c>
      <c r="U65" s="58" t="s">
        <v>70</v>
      </c>
      <c r="V65" s="59" t="s">
        <v>68</v>
      </c>
    </row>
    <row r="66" spans="2:23" ht="17" thickBot="1" x14ac:dyDescent="0.25">
      <c r="B66" s="124">
        <v>62</v>
      </c>
      <c r="C66" s="33">
        <v>46008</v>
      </c>
      <c r="D66" s="75" t="s">
        <v>246</v>
      </c>
      <c r="E66" s="78" t="s">
        <v>247</v>
      </c>
      <c r="F66" s="72">
        <v>31900</v>
      </c>
      <c r="G66" s="5">
        <f t="shared" si="6"/>
        <v>2900</v>
      </c>
      <c r="H66" s="3">
        <v>2150</v>
      </c>
      <c r="I66" s="3">
        <v>3980</v>
      </c>
      <c r="J66" s="5">
        <f t="shared" si="11"/>
        <v>361.8</v>
      </c>
      <c r="K66" s="3">
        <f t="shared" si="7"/>
        <v>6130</v>
      </c>
      <c r="L66" s="3">
        <v>0</v>
      </c>
      <c r="M66" s="3">
        <v>0</v>
      </c>
      <c r="N66" s="3">
        <f t="shared" si="8"/>
        <v>0</v>
      </c>
      <c r="O66" s="3">
        <f t="shared" si="9"/>
        <v>38030</v>
      </c>
      <c r="P66" s="3">
        <v>31900</v>
      </c>
      <c r="Q66" s="3">
        <f t="shared" si="10"/>
        <v>6130</v>
      </c>
      <c r="R66" s="23" t="s">
        <v>43</v>
      </c>
      <c r="S66" s="8"/>
      <c r="T66" s="57" t="s">
        <v>61</v>
      </c>
      <c r="U66" s="58" t="s">
        <v>145</v>
      </c>
      <c r="V66" s="59" t="s">
        <v>248</v>
      </c>
    </row>
    <row r="67" spans="2:23" ht="17" thickBot="1" x14ac:dyDescent="0.25">
      <c r="B67" s="124">
        <v>63</v>
      </c>
      <c r="C67" s="33">
        <v>46008</v>
      </c>
      <c r="D67" s="76" t="s">
        <v>249</v>
      </c>
      <c r="E67" s="76" t="s">
        <v>250</v>
      </c>
      <c r="F67" s="3">
        <v>141900</v>
      </c>
      <c r="G67" s="5">
        <f t="shared" si="6"/>
        <v>12900</v>
      </c>
      <c r="H67" s="3">
        <v>1250</v>
      </c>
      <c r="I67" s="3">
        <v>2310</v>
      </c>
      <c r="J67" s="5">
        <f t="shared" si="11"/>
        <v>210</v>
      </c>
      <c r="K67" s="3">
        <f t="shared" si="7"/>
        <v>3560</v>
      </c>
      <c r="L67" s="3">
        <v>0</v>
      </c>
      <c r="M67" s="3">
        <v>0</v>
      </c>
      <c r="N67" s="3">
        <f t="shared" si="8"/>
        <v>0</v>
      </c>
      <c r="O67" s="3">
        <f t="shared" si="9"/>
        <v>145460</v>
      </c>
      <c r="P67" s="3">
        <v>141900</v>
      </c>
      <c r="Q67" s="3">
        <f t="shared" si="10"/>
        <v>3560</v>
      </c>
      <c r="R67" s="23" t="s">
        <v>43</v>
      </c>
      <c r="S67" s="8"/>
      <c r="T67" s="46" t="s">
        <v>61</v>
      </c>
      <c r="U67" s="36" t="s">
        <v>145</v>
      </c>
      <c r="V67" s="35" t="s">
        <v>97</v>
      </c>
    </row>
    <row r="68" spans="2:23" ht="17" thickBot="1" x14ac:dyDescent="0.25">
      <c r="B68" s="124">
        <v>64</v>
      </c>
      <c r="C68" s="33">
        <v>46009</v>
      </c>
      <c r="D68" s="76" t="s">
        <v>251</v>
      </c>
      <c r="E68" s="76" t="s">
        <v>252</v>
      </c>
      <c r="F68" s="3">
        <v>206910</v>
      </c>
      <c r="G68" s="5">
        <f t="shared" si="6"/>
        <v>18810</v>
      </c>
      <c r="H68" s="3">
        <v>15450</v>
      </c>
      <c r="I68" s="3">
        <v>9260</v>
      </c>
      <c r="J68" s="5">
        <f t="shared" si="11"/>
        <v>841.8</v>
      </c>
      <c r="K68" s="3">
        <f t="shared" si="7"/>
        <v>24710</v>
      </c>
      <c r="L68" s="3">
        <v>0</v>
      </c>
      <c r="M68" s="3">
        <v>0</v>
      </c>
      <c r="N68" s="3">
        <f t="shared" si="8"/>
        <v>0</v>
      </c>
      <c r="O68" s="3">
        <f t="shared" si="9"/>
        <v>231620</v>
      </c>
      <c r="P68" s="3">
        <v>206910</v>
      </c>
      <c r="Q68" s="3">
        <f t="shared" si="10"/>
        <v>24710</v>
      </c>
      <c r="R68" s="23" t="s">
        <v>43</v>
      </c>
      <c r="S68" s="8"/>
      <c r="T68" s="46" t="s">
        <v>35</v>
      </c>
      <c r="U68" s="36" t="s">
        <v>36</v>
      </c>
      <c r="V68" s="35" t="s">
        <v>253</v>
      </c>
    </row>
    <row r="69" spans="2:23" s="108" customFormat="1" ht="17" thickBot="1" x14ac:dyDescent="0.25">
      <c r="B69" s="124">
        <v>65</v>
      </c>
      <c r="C69" s="107">
        <v>46006</v>
      </c>
      <c r="D69" s="110" t="s">
        <v>385</v>
      </c>
      <c r="E69" s="110" t="s">
        <v>254</v>
      </c>
      <c r="F69" s="119">
        <v>151800</v>
      </c>
      <c r="G69" s="64">
        <f t="shared" ref="G69:G100" si="12">ROUNDDOWN(F69/1.1*0.1,1)</f>
        <v>13800</v>
      </c>
      <c r="H69" s="9">
        <v>6950</v>
      </c>
      <c r="I69" s="9">
        <v>14910</v>
      </c>
      <c r="J69" s="64">
        <f t="shared" si="11"/>
        <v>1355.4</v>
      </c>
      <c r="K69" s="9">
        <f t="shared" ref="K69:K100" si="13">H69+I69</f>
        <v>21860</v>
      </c>
      <c r="L69" s="9">
        <v>0</v>
      </c>
      <c r="M69" s="9">
        <v>0</v>
      </c>
      <c r="N69" s="9">
        <f t="shared" ref="N69:N100" si="14">L69+M69</f>
        <v>0</v>
      </c>
      <c r="O69" s="9">
        <f t="shared" ref="O69:O100" si="15">F69+K69</f>
        <v>173660</v>
      </c>
      <c r="P69" s="9">
        <v>158400</v>
      </c>
      <c r="Q69" s="9">
        <f t="shared" ref="Q69:Q100" si="16">O69-(P69+N69)</f>
        <v>15260</v>
      </c>
      <c r="R69" s="23" t="s">
        <v>43</v>
      </c>
      <c r="S69" s="23">
        <v>0</v>
      </c>
      <c r="T69" s="115" t="s">
        <v>61</v>
      </c>
      <c r="U69" s="113" t="s">
        <v>255</v>
      </c>
      <c r="V69" s="114" t="s">
        <v>138</v>
      </c>
    </row>
    <row r="70" spans="2:23" ht="17" thickBot="1" x14ac:dyDescent="0.25">
      <c r="B70" s="124">
        <v>66</v>
      </c>
      <c r="C70" s="33">
        <v>46007</v>
      </c>
      <c r="D70" s="75" t="s">
        <v>256</v>
      </c>
      <c r="E70" s="75" t="s">
        <v>257</v>
      </c>
      <c r="F70" s="3">
        <v>303600</v>
      </c>
      <c r="G70" s="5">
        <f t="shared" si="12"/>
        <v>27600</v>
      </c>
      <c r="H70" s="3">
        <v>0</v>
      </c>
      <c r="I70" s="3">
        <v>3300</v>
      </c>
      <c r="J70" s="5">
        <f t="shared" ref="J70:J101" si="17">ROUNDDOWN(I70/1.1*0.1,1)</f>
        <v>300</v>
      </c>
      <c r="K70" s="3">
        <f t="shared" si="13"/>
        <v>3300</v>
      </c>
      <c r="L70" s="3">
        <v>0</v>
      </c>
      <c r="M70" s="3">
        <v>0</v>
      </c>
      <c r="N70" s="3">
        <f t="shared" si="14"/>
        <v>0</v>
      </c>
      <c r="O70" s="3">
        <f t="shared" si="15"/>
        <v>306900</v>
      </c>
      <c r="P70" s="3">
        <v>0</v>
      </c>
      <c r="Q70" s="3">
        <f t="shared" si="16"/>
        <v>306900</v>
      </c>
      <c r="R70" s="55">
        <v>46008</v>
      </c>
      <c r="S70" s="8"/>
      <c r="T70" s="57" t="s">
        <v>95</v>
      </c>
      <c r="U70" s="58" t="s">
        <v>117</v>
      </c>
      <c r="V70" s="59" t="s">
        <v>82</v>
      </c>
    </row>
    <row r="71" spans="2:23" ht="17" thickBot="1" x14ac:dyDescent="0.25">
      <c r="B71" s="124">
        <v>67</v>
      </c>
      <c r="C71" s="33">
        <v>46008</v>
      </c>
      <c r="D71" s="76" t="s">
        <v>258</v>
      </c>
      <c r="E71" s="76" t="s">
        <v>259</v>
      </c>
      <c r="F71" s="3">
        <v>104500</v>
      </c>
      <c r="G71" s="5">
        <f t="shared" si="12"/>
        <v>9500</v>
      </c>
      <c r="H71" s="3">
        <v>1850</v>
      </c>
      <c r="I71" s="3">
        <v>4690</v>
      </c>
      <c r="J71" s="5">
        <f t="shared" si="17"/>
        <v>426.3</v>
      </c>
      <c r="K71" s="3">
        <f t="shared" si="13"/>
        <v>6540</v>
      </c>
      <c r="L71" s="3">
        <v>0</v>
      </c>
      <c r="M71" s="3">
        <v>0</v>
      </c>
      <c r="N71" s="3">
        <f t="shared" si="14"/>
        <v>0</v>
      </c>
      <c r="O71" s="3">
        <f t="shared" si="15"/>
        <v>111040</v>
      </c>
      <c r="P71" s="3">
        <v>104500</v>
      </c>
      <c r="Q71" s="3">
        <f t="shared" si="16"/>
        <v>6540</v>
      </c>
      <c r="R71" s="23" t="s">
        <v>43</v>
      </c>
      <c r="S71" s="8"/>
      <c r="T71" s="46" t="s">
        <v>95</v>
      </c>
      <c r="U71" s="36" t="s">
        <v>96</v>
      </c>
      <c r="V71" s="35" t="s">
        <v>71</v>
      </c>
    </row>
    <row r="72" spans="2:23" ht="17" thickBot="1" x14ac:dyDescent="0.25">
      <c r="B72" s="124">
        <v>68</v>
      </c>
      <c r="C72" s="33">
        <v>46008</v>
      </c>
      <c r="D72" s="76" t="s">
        <v>260</v>
      </c>
      <c r="E72" s="76" t="s">
        <v>261</v>
      </c>
      <c r="F72" s="3">
        <v>528000</v>
      </c>
      <c r="G72" s="5">
        <f t="shared" si="12"/>
        <v>48000</v>
      </c>
      <c r="H72" s="3">
        <v>11400</v>
      </c>
      <c r="I72" s="3">
        <v>26815</v>
      </c>
      <c r="J72" s="5">
        <f t="shared" si="17"/>
        <v>2437.6999999999998</v>
      </c>
      <c r="K72" s="3">
        <f t="shared" si="13"/>
        <v>38215</v>
      </c>
      <c r="L72" s="3">
        <v>0</v>
      </c>
      <c r="M72" s="3">
        <v>0</v>
      </c>
      <c r="N72" s="3">
        <f t="shared" si="14"/>
        <v>0</v>
      </c>
      <c r="O72" s="3">
        <f t="shared" si="15"/>
        <v>566215</v>
      </c>
      <c r="P72" s="3">
        <v>0</v>
      </c>
      <c r="Q72" s="3">
        <f t="shared" si="16"/>
        <v>566215</v>
      </c>
      <c r="R72" s="23" t="s">
        <v>43</v>
      </c>
      <c r="S72" s="8" t="s">
        <v>262</v>
      </c>
      <c r="T72" s="46" t="s">
        <v>29</v>
      </c>
      <c r="U72" s="36" t="s">
        <v>30</v>
      </c>
      <c r="V72" s="35" t="s">
        <v>157</v>
      </c>
      <c r="W72" s="49" t="s">
        <v>281</v>
      </c>
    </row>
    <row r="73" spans="2:23" ht="17" thickBot="1" x14ac:dyDescent="0.25">
      <c r="B73" s="124">
        <v>69</v>
      </c>
      <c r="C73" s="33">
        <v>46009</v>
      </c>
      <c r="D73" s="76" t="s">
        <v>263</v>
      </c>
      <c r="E73" s="77" t="s">
        <v>264</v>
      </c>
      <c r="F73" s="71">
        <v>55000</v>
      </c>
      <c r="G73" s="5">
        <f t="shared" si="12"/>
        <v>5000</v>
      </c>
      <c r="H73" s="3">
        <v>6750</v>
      </c>
      <c r="I73" s="3">
        <v>7230</v>
      </c>
      <c r="J73" s="5">
        <f t="shared" si="17"/>
        <v>657.2</v>
      </c>
      <c r="K73" s="3">
        <f t="shared" si="13"/>
        <v>13980</v>
      </c>
      <c r="L73" s="3">
        <v>0</v>
      </c>
      <c r="M73" s="3">
        <v>0</v>
      </c>
      <c r="N73" s="3">
        <f t="shared" si="14"/>
        <v>0</v>
      </c>
      <c r="O73" s="3">
        <f t="shared" si="15"/>
        <v>68980</v>
      </c>
      <c r="P73" s="3">
        <v>55000</v>
      </c>
      <c r="Q73" s="3">
        <f t="shared" si="16"/>
        <v>13980</v>
      </c>
      <c r="R73" s="23" t="s">
        <v>43</v>
      </c>
      <c r="S73" s="8"/>
      <c r="T73" s="46" t="s">
        <v>84</v>
      </c>
      <c r="U73" s="36" t="s">
        <v>136</v>
      </c>
      <c r="V73" s="35" t="s">
        <v>37</v>
      </c>
    </row>
    <row r="74" spans="2:23" ht="17" thickBot="1" x14ac:dyDescent="0.25">
      <c r="B74" s="124">
        <v>70</v>
      </c>
      <c r="C74" s="33">
        <v>46009</v>
      </c>
      <c r="D74" s="76" t="s">
        <v>265</v>
      </c>
      <c r="E74" s="76" t="s">
        <v>374</v>
      </c>
      <c r="F74" s="3">
        <v>200000</v>
      </c>
      <c r="G74" s="5">
        <f t="shared" si="12"/>
        <v>18181.8</v>
      </c>
      <c r="H74" s="3">
        <v>0</v>
      </c>
      <c r="I74" s="3">
        <v>15750</v>
      </c>
      <c r="J74" s="5">
        <f t="shared" si="17"/>
        <v>1431.8</v>
      </c>
      <c r="K74" s="3">
        <f t="shared" si="13"/>
        <v>15750</v>
      </c>
      <c r="L74" s="3">
        <v>0</v>
      </c>
      <c r="M74" s="3">
        <v>0</v>
      </c>
      <c r="N74" s="3">
        <f t="shared" si="14"/>
        <v>0</v>
      </c>
      <c r="O74" s="3">
        <f t="shared" si="15"/>
        <v>215750</v>
      </c>
      <c r="P74" s="3">
        <v>200000</v>
      </c>
      <c r="Q74" s="3">
        <f t="shared" si="16"/>
        <v>15750</v>
      </c>
      <c r="R74" s="23" t="s">
        <v>43</v>
      </c>
      <c r="S74" s="8"/>
      <c r="T74" s="46" t="s">
        <v>35</v>
      </c>
      <c r="U74" s="36" t="s">
        <v>70</v>
      </c>
      <c r="V74" s="35" t="s">
        <v>266</v>
      </c>
    </row>
    <row r="75" spans="2:23" ht="17" thickBot="1" x14ac:dyDescent="0.25">
      <c r="B75" s="124">
        <v>71</v>
      </c>
      <c r="C75" s="33">
        <v>46009</v>
      </c>
      <c r="D75" s="76" t="s">
        <v>267</v>
      </c>
      <c r="E75" s="76" t="s">
        <v>268</v>
      </c>
      <c r="F75" s="3">
        <v>460350</v>
      </c>
      <c r="G75" s="5">
        <f t="shared" si="12"/>
        <v>41850</v>
      </c>
      <c r="H75" s="3">
        <v>5150</v>
      </c>
      <c r="I75" s="3">
        <v>14550</v>
      </c>
      <c r="J75" s="5">
        <f t="shared" si="17"/>
        <v>1322.7</v>
      </c>
      <c r="K75" s="3">
        <f t="shared" si="13"/>
        <v>19700</v>
      </c>
      <c r="L75" s="3">
        <v>0</v>
      </c>
      <c r="M75" s="3">
        <v>0</v>
      </c>
      <c r="N75" s="3">
        <f t="shared" si="14"/>
        <v>0</v>
      </c>
      <c r="O75" s="3">
        <f t="shared" si="15"/>
        <v>480050</v>
      </c>
      <c r="P75" s="3">
        <v>100000</v>
      </c>
      <c r="Q75" s="3">
        <f t="shared" si="16"/>
        <v>380050</v>
      </c>
      <c r="R75" s="23" t="s">
        <v>43</v>
      </c>
      <c r="S75" s="8"/>
      <c r="T75" s="46" t="s">
        <v>35</v>
      </c>
      <c r="U75" s="35" t="s">
        <v>121</v>
      </c>
    </row>
    <row r="76" spans="2:23" ht="17" thickBot="1" x14ac:dyDescent="0.25">
      <c r="B76" s="124">
        <v>72</v>
      </c>
      <c r="C76" s="33">
        <v>46010</v>
      </c>
      <c r="D76" s="76" t="s">
        <v>269</v>
      </c>
      <c r="E76" s="76" t="s">
        <v>270</v>
      </c>
      <c r="F76" s="3">
        <v>324500</v>
      </c>
      <c r="G76" s="5">
        <f t="shared" si="12"/>
        <v>29500</v>
      </c>
      <c r="H76" s="3">
        <v>2600</v>
      </c>
      <c r="I76" s="3">
        <v>104880</v>
      </c>
      <c r="J76" s="5">
        <f t="shared" si="17"/>
        <v>9534.5</v>
      </c>
      <c r="K76" s="3">
        <f t="shared" si="13"/>
        <v>107480</v>
      </c>
      <c r="L76" s="3">
        <v>0</v>
      </c>
      <c r="M76" s="3">
        <v>0</v>
      </c>
      <c r="N76" s="3">
        <f t="shared" si="14"/>
        <v>0</v>
      </c>
      <c r="O76" s="3">
        <f t="shared" si="15"/>
        <v>431980</v>
      </c>
      <c r="P76" s="3">
        <v>313500</v>
      </c>
      <c r="Q76" s="3">
        <f t="shared" si="16"/>
        <v>118480</v>
      </c>
      <c r="R76" s="23" t="s">
        <v>43</v>
      </c>
      <c r="S76" s="8"/>
      <c r="T76" s="46" t="s">
        <v>61</v>
      </c>
      <c r="U76" s="36" t="s">
        <v>62</v>
      </c>
      <c r="V76" s="35" t="s">
        <v>82</v>
      </c>
    </row>
    <row r="77" spans="2:23" ht="17" thickBot="1" x14ac:dyDescent="0.25">
      <c r="B77" s="124">
        <v>73</v>
      </c>
      <c r="C77" s="33">
        <v>46010</v>
      </c>
      <c r="D77" s="76" t="s">
        <v>271</v>
      </c>
      <c r="E77" s="77" t="s">
        <v>272</v>
      </c>
      <c r="F77" s="71">
        <v>641300</v>
      </c>
      <c r="G77" s="5">
        <f t="shared" si="12"/>
        <v>58300</v>
      </c>
      <c r="H77" s="3">
        <v>1050</v>
      </c>
      <c r="I77" s="3">
        <v>29100</v>
      </c>
      <c r="J77" s="5">
        <f t="shared" si="17"/>
        <v>2645.4</v>
      </c>
      <c r="K77" s="3">
        <f t="shared" si="13"/>
        <v>30150</v>
      </c>
      <c r="L77" s="3">
        <v>0</v>
      </c>
      <c r="M77" s="3">
        <v>0</v>
      </c>
      <c r="N77" s="3">
        <f t="shared" si="14"/>
        <v>0</v>
      </c>
      <c r="O77" s="3">
        <f t="shared" si="15"/>
        <v>671450</v>
      </c>
      <c r="P77" s="3">
        <v>200000</v>
      </c>
      <c r="Q77" s="3">
        <f t="shared" si="16"/>
        <v>471450</v>
      </c>
      <c r="R77" s="23" t="s">
        <v>43</v>
      </c>
      <c r="S77" s="8"/>
      <c r="T77" s="46" t="s">
        <v>35</v>
      </c>
      <c r="U77" s="36" t="s">
        <v>121</v>
      </c>
      <c r="V77" s="35" t="s">
        <v>37</v>
      </c>
    </row>
    <row r="78" spans="2:23" ht="17" thickBot="1" x14ac:dyDescent="0.25">
      <c r="B78" s="124">
        <v>74</v>
      </c>
      <c r="C78" s="33">
        <v>46010</v>
      </c>
      <c r="D78" s="76" t="s">
        <v>273</v>
      </c>
      <c r="E78" s="76" t="s">
        <v>274</v>
      </c>
      <c r="F78" s="3">
        <v>123750</v>
      </c>
      <c r="G78" s="5">
        <f t="shared" si="12"/>
        <v>11250</v>
      </c>
      <c r="H78" s="3">
        <v>2800</v>
      </c>
      <c r="I78" s="3">
        <v>6670</v>
      </c>
      <c r="J78" s="5">
        <f t="shared" si="17"/>
        <v>606.29999999999995</v>
      </c>
      <c r="K78" s="3">
        <f t="shared" si="13"/>
        <v>9470</v>
      </c>
      <c r="L78" s="3">
        <v>0</v>
      </c>
      <c r="M78" s="3">
        <v>0</v>
      </c>
      <c r="N78" s="3">
        <f t="shared" si="14"/>
        <v>0</v>
      </c>
      <c r="O78" s="3">
        <f t="shared" si="15"/>
        <v>133220</v>
      </c>
      <c r="P78" s="3">
        <v>123750</v>
      </c>
      <c r="Q78" s="3">
        <f t="shared" si="16"/>
        <v>9470</v>
      </c>
      <c r="R78" s="23" t="s">
        <v>43</v>
      </c>
      <c r="S78" s="8"/>
      <c r="T78" s="46" t="s">
        <v>35</v>
      </c>
      <c r="U78" s="36" t="s">
        <v>36</v>
      </c>
      <c r="V78" s="35" t="s">
        <v>37</v>
      </c>
    </row>
    <row r="79" spans="2:23" ht="17" thickBot="1" x14ac:dyDescent="0.25">
      <c r="B79" s="124">
        <v>75</v>
      </c>
      <c r="C79" s="33">
        <v>46010</v>
      </c>
      <c r="D79" s="76" t="s">
        <v>275</v>
      </c>
      <c r="E79" s="76" t="s">
        <v>276</v>
      </c>
      <c r="F79" s="3">
        <v>147510</v>
      </c>
      <c r="G79" s="5">
        <f t="shared" si="12"/>
        <v>13410</v>
      </c>
      <c r="H79" s="3">
        <v>3950</v>
      </c>
      <c r="I79" s="3">
        <v>5700</v>
      </c>
      <c r="J79" s="5">
        <f t="shared" si="17"/>
        <v>518.1</v>
      </c>
      <c r="K79" s="3">
        <f t="shared" si="13"/>
        <v>9650</v>
      </c>
      <c r="L79" s="3">
        <v>0</v>
      </c>
      <c r="M79" s="3">
        <v>0</v>
      </c>
      <c r="N79" s="3">
        <f t="shared" si="14"/>
        <v>0</v>
      </c>
      <c r="O79" s="3">
        <f t="shared" si="15"/>
        <v>157160</v>
      </c>
      <c r="P79" s="3">
        <v>50000</v>
      </c>
      <c r="Q79" s="3">
        <f t="shared" si="16"/>
        <v>107160</v>
      </c>
      <c r="R79" s="23" t="s">
        <v>43</v>
      </c>
      <c r="S79" s="8"/>
      <c r="T79" s="46" t="s">
        <v>35</v>
      </c>
      <c r="U79" s="36" t="s">
        <v>36</v>
      </c>
      <c r="V79" s="35" t="s">
        <v>71</v>
      </c>
    </row>
    <row r="80" spans="2:23" ht="17" thickBot="1" x14ac:dyDescent="0.25">
      <c r="B80" s="124">
        <v>76</v>
      </c>
      <c r="C80" s="33">
        <v>46010</v>
      </c>
      <c r="D80" s="76" t="s">
        <v>277</v>
      </c>
      <c r="E80" s="77" t="s">
        <v>278</v>
      </c>
      <c r="F80" s="71">
        <v>309000</v>
      </c>
      <c r="G80" s="5">
        <f t="shared" si="12"/>
        <v>28090.9</v>
      </c>
      <c r="H80" s="3">
        <v>5700</v>
      </c>
      <c r="I80" s="3">
        <v>20270</v>
      </c>
      <c r="J80" s="5">
        <f t="shared" si="17"/>
        <v>1842.7</v>
      </c>
      <c r="K80" s="3">
        <f t="shared" si="13"/>
        <v>25970</v>
      </c>
      <c r="L80" s="3">
        <v>0</v>
      </c>
      <c r="M80" s="3">
        <v>0</v>
      </c>
      <c r="N80" s="3">
        <f t="shared" si="14"/>
        <v>0</v>
      </c>
      <c r="O80" s="3">
        <f t="shared" si="15"/>
        <v>334970</v>
      </c>
      <c r="P80" s="3">
        <v>200000</v>
      </c>
      <c r="Q80" s="3">
        <f t="shared" si="16"/>
        <v>134970</v>
      </c>
      <c r="R80" s="23" t="s">
        <v>43</v>
      </c>
      <c r="S80" s="8"/>
      <c r="T80" s="46" t="s">
        <v>35</v>
      </c>
      <c r="U80" s="36" t="s">
        <v>36</v>
      </c>
      <c r="V80" s="35" t="s">
        <v>71</v>
      </c>
    </row>
    <row r="81" spans="1:23" ht="17" thickBot="1" x14ac:dyDescent="0.25">
      <c r="B81" s="124">
        <v>77</v>
      </c>
      <c r="C81" s="33">
        <v>46011</v>
      </c>
      <c r="D81" s="76" t="s">
        <v>279</v>
      </c>
      <c r="E81" s="76" t="s">
        <v>280</v>
      </c>
      <c r="F81" s="3">
        <v>44000</v>
      </c>
      <c r="G81" s="5">
        <f t="shared" si="12"/>
        <v>4000</v>
      </c>
      <c r="H81" s="3">
        <v>0</v>
      </c>
      <c r="I81" s="3">
        <v>7850</v>
      </c>
      <c r="J81" s="5">
        <f t="shared" si="17"/>
        <v>713.6</v>
      </c>
      <c r="K81" s="3">
        <f t="shared" si="13"/>
        <v>7850</v>
      </c>
      <c r="L81" s="3">
        <v>0</v>
      </c>
      <c r="M81" s="3">
        <v>0</v>
      </c>
      <c r="N81" s="3">
        <f t="shared" si="14"/>
        <v>0</v>
      </c>
      <c r="O81" s="3">
        <f t="shared" si="15"/>
        <v>51850</v>
      </c>
      <c r="P81" s="3">
        <v>44000</v>
      </c>
      <c r="Q81" s="3">
        <f t="shared" si="16"/>
        <v>7850</v>
      </c>
      <c r="R81" s="23" t="s">
        <v>43</v>
      </c>
      <c r="S81" s="8"/>
      <c r="T81" s="46" t="s">
        <v>29</v>
      </c>
      <c r="U81" s="36" t="s">
        <v>111</v>
      </c>
      <c r="V81" s="35" t="s">
        <v>112</v>
      </c>
    </row>
    <row r="82" spans="1:23" s="108" customFormat="1" ht="17" thickBot="1" x14ac:dyDescent="0.25">
      <c r="B82" s="124">
        <v>78</v>
      </c>
      <c r="C82" s="118">
        <v>46010</v>
      </c>
      <c r="D82" s="110" t="s">
        <v>386</v>
      </c>
      <c r="E82" s="110" t="s">
        <v>289</v>
      </c>
      <c r="F82" s="9">
        <v>226710</v>
      </c>
      <c r="G82" s="64">
        <f t="shared" si="12"/>
        <v>20610</v>
      </c>
      <c r="H82" s="9">
        <v>10650</v>
      </c>
      <c r="I82" s="9">
        <v>9750</v>
      </c>
      <c r="J82" s="64">
        <f t="shared" si="17"/>
        <v>886.3</v>
      </c>
      <c r="K82" s="9">
        <f t="shared" si="13"/>
        <v>20400</v>
      </c>
      <c r="L82" s="9">
        <v>0</v>
      </c>
      <c r="M82" s="9">
        <v>0</v>
      </c>
      <c r="N82" s="9">
        <f t="shared" si="14"/>
        <v>0</v>
      </c>
      <c r="O82" s="9">
        <f t="shared" si="15"/>
        <v>247110</v>
      </c>
      <c r="P82" s="9">
        <v>226710</v>
      </c>
      <c r="Q82" s="9">
        <f t="shared" si="16"/>
        <v>20400</v>
      </c>
      <c r="R82" s="23" t="s">
        <v>43</v>
      </c>
      <c r="S82" s="23"/>
      <c r="T82" s="115" t="s">
        <v>61</v>
      </c>
      <c r="U82" s="113" t="s">
        <v>255</v>
      </c>
      <c r="V82" s="114" t="s">
        <v>138</v>
      </c>
    </row>
    <row r="83" spans="1:23" ht="17" thickBot="1" x14ac:dyDescent="0.25">
      <c r="A83" s="34">
        <v>46014</v>
      </c>
      <c r="B83" s="124">
        <v>79</v>
      </c>
      <c r="C83" s="33">
        <v>46010</v>
      </c>
      <c r="D83" s="76" t="s">
        <v>290</v>
      </c>
      <c r="E83" s="76" t="s">
        <v>291</v>
      </c>
      <c r="F83" s="3">
        <v>66000</v>
      </c>
      <c r="G83" s="5">
        <f t="shared" si="12"/>
        <v>6000</v>
      </c>
      <c r="H83" s="3">
        <v>300</v>
      </c>
      <c r="I83" s="3">
        <v>2490</v>
      </c>
      <c r="J83" s="5">
        <f t="shared" si="17"/>
        <v>226.3</v>
      </c>
      <c r="K83" s="3">
        <f t="shared" si="13"/>
        <v>2790</v>
      </c>
      <c r="L83" s="3">
        <v>0</v>
      </c>
      <c r="M83" s="3">
        <v>0</v>
      </c>
      <c r="N83" s="3">
        <f t="shared" si="14"/>
        <v>0</v>
      </c>
      <c r="O83" s="3">
        <f t="shared" si="15"/>
        <v>68790</v>
      </c>
      <c r="P83" s="3">
        <v>66000</v>
      </c>
      <c r="Q83" s="3">
        <f t="shared" si="16"/>
        <v>2790</v>
      </c>
      <c r="R83" s="23" t="s">
        <v>43</v>
      </c>
      <c r="S83" s="8"/>
      <c r="T83" s="46" t="s">
        <v>61</v>
      </c>
      <c r="U83" s="35" t="s">
        <v>145</v>
      </c>
      <c r="W83" t="s">
        <v>305</v>
      </c>
    </row>
    <row r="84" spans="1:23" ht="17" thickBot="1" x14ac:dyDescent="0.25">
      <c r="B84" s="124">
        <v>80</v>
      </c>
      <c r="C84" s="33">
        <v>46010</v>
      </c>
      <c r="D84" s="76" t="s">
        <v>292</v>
      </c>
      <c r="E84" s="80" t="s">
        <v>293</v>
      </c>
      <c r="F84" s="3">
        <v>11000</v>
      </c>
      <c r="G84" s="5">
        <f t="shared" si="12"/>
        <v>1000</v>
      </c>
      <c r="H84" s="3">
        <v>0</v>
      </c>
      <c r="I84" s="3">
        <v>0</v>
      </c>
      <c r="J84" s="5">
        <f t="shared" si="17"/>
        <v>0</v>
      </c>
      <c r="K84" s="3">
        <f t="shared" si="13"/>
        <v>0</v>
      </c>
      <c r="L84" s="3">
        <v>0</v>
      </c>
      <c r="M84" s="3">
        <v>0</v>
      </c>
      <c r="N84" s="3">
        <f t="shared" si="14"/>
        <v>0</v>
      </c>
      <c r="O84" s="3">
        <f t="shared" si="15"/>
        <v>11000</v>
      </c>
      <c r="P84" s="3">
        <v>11000</v>
      </c>
      <c r="Q84" s="3">
        <f t="shared" si="16"/>
        <v>0</v>
      </c>
      <c r="R84" s="23"/>
      <c r="S84" s="8"/>
      <c r="T84" s="46" t="s">
        <v>61</v>
      </c>
      <c r="U84" s="36" t="s">
        <v>62</v>
      </c>
      <c r="V84" s="35" t="s">
        <v>146</v>
      </c>
    </row>
    <row r="85" spans="1:23" ht="17" thickBot="1" x14ac:dyDescent="0.25">
      <c r="B85" s="124">
        <v>81</v>
      </c>
      <c r="C85" s="33">
        <v>46013</v>
      </c>
      <c r="D85" s="76" t="s">
        <v>294</v>
      </c>
      <c r="E85" s="76" t="s">
        <v>295</v>
      </c>
      <c r="F85" s="3">
        <v>33000</v>
      </c>
      <c r="G85" s="5">
        <f t="shared" si="12"/>
        <v>3000</v>
      </c>
      <c r="H85" s="3">
        <v>5650</v>
      </c>
      <c r="I85" s="3">
        <v>13630</v>
      </c>
      <c r="J85" s="5">
        <f t="shared" si="17"/>
        <v>1239</v>
      </c>
      <c r="K85" s="3">
        <f t="shared" si="13"/>
        <v>19280</v>
      </c>
      <c r="L85" s="3">
        <v>0</v>
      </c>
      <c r="M85" s="3">
        <v>0</v>
      </c>
      <c r="N85" s="3">
        <f t="shared" si="14"/>
        <v>0</v>
      </c>
      <c r="O85" s="3">
        <f t="shared" si="15"/>
        <v>52280</v>
      </c>
      <c r="P85" s="3">
        <v>33000</v>
      </c>
      <c r="Q85" s="3">
        <f t="shared" si="16"/>
        <v>19280</v>
      </c>
      <c r="R85" s="23" t="s">
        <v>43</v>
      </c>
      <c r="S85" s="8"/>
      <c r="T85" s="46" t="s">
        <v>29</v>
      </c>
      <c r="U85" s="36" t="s">
        <v>30</v>
      </c>
      <c r="V85" s="35" t="s">
        <v>97</v>
      </c>
    </row>
    <row r="86" spans="1:23" ht="17" thickBot="1" x14ac:dyDescent="0.25">
      <c r="B86" s="124">
        <v>82</v>
      </c>
      <c r="C86" s="33">
        <v>46011</v>
      </c>
      <c r="D86" s="76" t="s">
        <v>296</v>
      </c>
      <c r="E86" s="76" t="s">
        <v>297</v>
      </c>
      <c r="F86" s="3">
        <v>485110</v>
      </c>
      <c r="G86" s="5">
        <f t="shared" si="12"/>
        <v>44100.9</v>
      </c>
      <c r="H86" s="3">
        <v>6700</v>
      </c>
      <c r="I86" s="3">
        <v>8770</v>
      </c>
      <c r="J86" s="5">
        <f t="shared" si="17"/>
        <v>797.2</v>
      </c>
      <c r="K86" s="3">
        <f t="shared" si="13"/>
        <v>15470</v>
      </c>
      <c r="L86" s="3">
        <v>0</v>
      </c>
      <c r="M86" s="3">
        <v>0</v>
      </c>
      <c r="N86" s="3">
        <f t="shared" si="14"/>
        <v>0</v>
      </c>
      <c r="O86" s="3">
        <f t="shared" si="15"/>
        <v>500580</v>
      </c>
      <c r="P86" s="3">
        <v>200000</v>
      </c>
      <c r="Q86" s="3">
        <f t="shared" si="16"/>
        <v>300580</v>
      </c>
      <c r="R86" s="23" t="s">
        <v>43</v>
      </c>
      <c r="S86" s="8"/>
      <c r="T86" s="46" t="s">
        <v>35</v>
      </c>
      <c r="U86" s="36" t="s">
        <v>70</v>
      </c>
      <c r="V86" s="35" t="s">
        <v>298</v>
      </c>
    </row>
    <row r="87" spans="1:23" ht="17" thickBot="1" x14ac:dyDescent="0.25">
      <c r="B87" s="124">
        <v>83</v>
      </c>
      <c r="C87" s="33">
        <v>46013</v>
      </c>
      <c r="D87" s="76" t="s">
        <v>299</v>
      </c>
      <c r="E87" s="76" t="s">
        <v>300</v>
      </c>
      <c r="F87" s="3">
        <v>78320</v>
      </c>
      <c r="G87" s="5">
        <f t="shared" si="12"/>
        <v>7120</v>
      </c>
      <c r="H87" s="3">
        <v>300</v>
      </c>
      <c r="I87" s="3">
        <v>2830</v>
      </c>
      <c r="J87" s="5">
        <f t="shared" si="17"/>
        <v>257.2</v>
      </c>
      <c r="K87" s="3">
        <f t="shared" si="13"/>
        <v>3130</v>
      </c>
      <c r="L87" s="3">
        <v>0</v>
      </c>
      <c r="M87" s="3">
        <v>0</v>
      </c>
      <c r="N87" s="3">
        <f t="shared" si="14"/>
        <v>0</v>
      </c>
      <c r="O87" s="3">
        <f t="shared" si="15"/>
        <v>81450</v>
      </c>
      <c r="P87" s="3">
        <v>78320</v>
      </c>
      <c r="Q87" s="3">
        <f t="shared" si="16"/>
        <v>3130</v>
      </c>
      <c r="R87" s="23" t="s">
        <v>43</v>
      </c>
      <c r="S87" s="8"/>
      <c r="T87" s="46" t="s">
        <v>61</v>
      </c>
      <c r="U87" s="36" t="s">
        <v>145</v>
      </c>
      <c r="V87" s="35" t="s">
        <v>146</v>
      </c>
    </row>
    <row r="88" spans="1:23" ht="17" thickBot="1" x14ac:dyDescent="0.25">
      <c r="B88" s="124">
        <v>84</v>
      </c>
      <c r="C88" s="33">
        <v>46014</v>
      </c>
      <c r="D88" s="76" t="s">
        <v>301</v>
      </c>
      <c r="E88" s="76" t="s">
        <v>302</v>
      </c>
      <c r="F88" s="3">
        <v>71500</v>
      </c>
      <c r="G88" s="5">
        <f t="shared" si="12"/>
        <v>6500</v>
      </c>
      <c r="H88" s="3">
        <v>14000</v>
      </c>
      <c r="I88" s="3">
        <v>16550</v>
      </c>
      <c r="J88" s="5">
        <f t="shared" si="17"/>
        <v>1504.5</v>
      </c>
      <c r="K88" s="3">
        <f t="shared" si="13"/>
        <v>30550</v>
      </c>
      <c r="L88" s="3">
        <v>0</v>
      </c>
      <c r="M88" s="3">
        <v>0</v>
      </c>
      <c r="N88" s="3">
        <f t="shared" si="14"/>
        <v>0</v>
      </c>
      <c r="O88" s="3">
        <f t="shared" si="15"/>
        <v>102050</v>
      </c>
      <c r="P88" s="3">
        <v>71500</v>
      </c>
      <c r="Q88" s="3">
        <f t="shared" si="16"/>
        <v>30550</v>
      </c>
      <c r="R88" s="23" t="s">
        <v>43</v>
      </c>
      <c r="S88" s="8"/>
      <c r="T88" s="42" t="s">
        <v>29</v>
      </c>
      <c r="U88" s="36" t="s">
        <v>111</v>
      </c>
      <c r="V88" s="35" t="s">
        <v>37</v>
      </c>
    </row>
    <row r="89" spans="1:23" ht="17" thickBot="1" x14ac:dyDescent="0.25">
      <c r="B89" s="124">
        <v>85</v>
      </c>
      <c r="C89" s="33">
        <v>46015</v>
      </c>
      <c r="D89" s="76" t="s">
        <v>303</v>
      </c>
      <c r="E89" s="76" t="s">
        <v>304</v>
      </c>
      <c r="F89" s="3">
        <v>147400</v>
      </c>
      <c r="G89" s="5">
        <f t="shared" si="12"/>
        <v>13400</v>
      </c>
      <c r="H89" s="3">
        <v>1450</v>
      </c>
      <c r="I89" s="3">
        <v>5150</v>
      </c>
      <c r="J89" s="5">
        <f t="shared" si="17"/>
        <v>468.1</v>
      </c>
      <c r="K89" s="3">
        <f t="shared" si="13"/>
        <v>6600</v>
      </c>
      <c r="L89" s="3">
        <v>0</v>
      </c>
      <c r="M89" s="3">
        <v>0</v>
      </c>
      <c r="N89" s="3">
        <f t="shared" si="14"/>
        <v>0</v>
      </c>
      <c r="O89" s="3">
        <f t="shared" si="15"/>
        <v>154000</v>
      </c>
      <c r="P89" s="3">
        <v>147400</v>
      </c>
      <c r="Q89" s="3">
        <f t="shared" si="16"/>
        <v>6600</v>
      </c>
      <c r="R89" s="23" t="s">
        <v>43</v>
      </c>
      <c r="S89" s="8"/>
      <c r="T89" s="42" t="s">
        <v>84</v>
      </c>
      <c r="U89" s="35" t="s">
        <v>136</v>
      </c>
    </row>
    <row r="90" spans="1:23" ht="17" thickBot="1" x14ac:dyDescent="0.25">
      <c r="A90" s="34">
        <v>46015</v>
      </c>
      <c r="B90" s="124">
        <v>86</v>
      </c>
      <c r="C90" s="33">
        <v>46014</v>
      </c>
      <c r="D90" s="76" t="s">
        <v>306</v>
      </c>
      <c r="E90" s="76" t="s">
        <v>307</v>
      </c>
      <c r="F90" s="85">
        <v>341000</v>
      </c>
      <c r="G90" s="5">
        <f t="shared" si="12"/>
        <v>31000</v>
      </c>
      <c r="H90" s="3">
        <v>450</v>
      </c>
      <c r="I90" s="3">
        <v>3450</v>
      </c>
      <c r="J90" s="5">
        <f t="shared" si="17"/>
        <v>313.60000000000002</v>
      </c>
      <c r="K90" s="3">
        <f t="shared" si="13"/>
        <v>3900</v>
      </c>
      <c r="L90" s="3">
        <v>0</v>
      </c>
      <c r="M90" s="3">
        <v>0</v>
      </c>
      <c r="N90" s="3">
        <f t="shared" si="14"/>
        <v>0</v>
      </c>
      <c r="O90" s="3">
        <f t="shared" si="15"/>
        <v>344900</v>
      </c>
      <c r="P90" s="3">
        <v>200000</v>
      </c>
      <c r="Q90" s="3">
        <f t="shared" si="16"/>
        <v>144900</v>
      </c>
      <c r="R90" s="23" t="s">
        <v>43</v>
      </c>
      <c r="S90" s="8"/>
      <c r="T90" s="42" t="s">
        <v>95</v>
      </c>
      <c r="U90" s="36" t="s">
        <v>96</v>
      </c>
      <c r="V90" s="35" t="s">
        <v>308</v>
      </c>
    </row>
    <row r="91" spans="1:23" s="108" customFormat="1" ht="17" thickBot="1" x14ac:dyDescent="0.25">
      <c r="B91" s="124">
        <v>87</v>
      </c>
      <c r="C91" s="107">
        <v>46014</v>
      </c>
      <c r="D91" s="110" t="s">
        <v>309</v>
      </c>
      <c r="E91" s="110" t="s">
        <v>310</v>
      </c>
      <c r="F91" s="111">
        <v>148500</v>
      </c>
      <c r="G91" s="64">
        <f t="shared" si="12"/>
        <v>13500</v>
      </c>
      <c r="H91" s="9">
        <v>2400</v>
      </c>
      <c r="I91" s="9">
        <v>4890</v>
      </c>
      <c r="J91" s="64">
        <f t="shared" si="17"/>
        <v>444.5</v>
      </c>
      <c r="K91" s="9">
        <f t="shared" si="13"/>
        <v>7290</v>
      </c>
      <c r="L91" s="9">
        <v>0</v>
      </c>
      <c r="M91" s="9">
        <v>0</v>
      </c>
      <c r="N91" s="9">
        <f t="shared" si="14"/>
        <v>0</v>
      </c>
      <c r="O91" s="9">
        <f t="shared" si="15"/>
        <v>155790</v>
      </c>
      <c r="P91" s="9">
        <v>148500</v>
      </c>
      <c r="Q91" s="9">
        <f t="shared" si="16"/>
        <v>7290</v>
      </c>
      <c r="R91" s="23" t="s">
        <v>43</v>
      </c>
      <c r="S91" s="23"/>
      <c r="T91" s="112" t="s">
        <v>35</v>
      </c>
      <c r="U91" s="113" t="s">
        <v>36</v>
      </c>
      <c r="V91" s="114" t="s">
        <v>71</v>
      </c>
    </row>
    <row r="92" spans="1:23" ht="17" thickBot="1" x14ac:dyDescent="0.25">
      <c r="B92" s="124">
        <v>88</v>
      </c>
      <c r="C92" s="33">
        <v>46015</v>
      </c>
      <c r="D92" s="77" t="s">
        <v>313</v>
      </c>
      <c r="E92" s="77" t="s">
        <v>314</v>
      </c>
      <c r="F92" s="86">
        <v>55000</v>
      </c>
      <c r="G92" s="5">
        <f t="shared" si="12"/>
        <v>5000</v>
      </c>
      <c r="H92" s="3">
        <v>5650</v>
      </c>
      <c r="I92" s="3">
        <v>7660</v>
      </c>
      <c r="J92" s="5">
        <f t="shared" si="17"/>
        <v>696.3</v>
      </c>
      <c r="K92" s="3">
        <f t="shared" si="13"/>
        <v>13310</v>
      </c>
      <c r="L92" s="3">
        <v>0</v>
      </c>
      <c r="M92" s="3">
        <v>0</v>
      </c>
      <c r="N92" s="3">
        <f t="shared" si="14"/>
        <v>0</v>
      </c>
      <c r="O92" s="3">
        <f t="shared" si="15"/>
        <v>68310</v>
      </c>
      <c r="P92" s="3">
        <v>55000</v>
      </c>
      <c r="Q92" s="3">
        <f t="shared" si="16"/>
        <v>13310</v>
      </c>
      <c r="R92" s="23" t="s">
        <v>43</v>
      </c>
      <c r="S92" s="8"/>
      <c r="T92" s="42" t="s">
        <v>29</v>
      </c>
      <c r="U92" s="36" t="s">
        <v>30</v>
      </c>
      <c r="V92" s="35" t="s">
        <v>87</v>
      </c>
    </row>
    <row r="93" spans="1:23" ht="17" thickBot="1" x14ac:dyDescent="0.25">
      <c r="B93" s="124">
        <v>89</v>
      </c>
      <c r="C93" s="33">
        <v>46014</v>
      </c>
      <c r="D93" s="76" t="s">
        <v>315</v>
      </c>
      <c r="E93" s="77" t="s">
        <v>316</v>
      </c>
      <c r="F93" s="85">
        <v>55000</v>
      </c>
      <c r="G93" s="5">
        <f t="shared" si="12"/>
        <v>5000</v>
      </c>
      <c r="H93" s="3">
        <v>0</v>
      </c>
      <c r="I93" s="3">
        <v>0</v>
      </c>
      <c r="J93" s="5">
        <f t="shared" si="17"/>
        <v>0</v>
      </c>
      <c r="K93" s="3">
        <f t="shared" si="13"/>
        <v>0</v>
      </c>
      <c r="L93" s="3">
        <v>0</v>
      </c>
      <c r="M93" s="3">
        <v>0</v>
      </c>
      <c r="N93" s="3">
        <f t="shared" si="14"/>
        <v>0</v>
      </c>
      <c r="O93" s="3">
        <f t="shared" si="15"/>
        <v>55000</v>
      </c>
      <c r="P93" s="3">
        <v>0</v>
      </c>
      <c r="Q93" s="3">
        <f t="shared" si="16"/>
        <v>55000</v>
      </c>
      <c r="R93" s="23" t="s">
        <v>43</v>
      </c>
      <c r="S93" s="8"/>
      <c r="T93" s="42" t="s">
        <v>84</v>
      </c>
      <c r="U93" s="36" t="s">
        <v>136</v>
      </c>
      <c r="V93" s="35" t="s">
        <v>87</v>
      </c>
    </row>
    <row r="94" spans="1:23" ht="17" thickBot="1" x14ac:dyDescent="0.25">
      <c r="B94" s="124">
        <v>90</v>
      </c>
      <c r="C94" s="33">
        <v>46015</v>
      </c>
      <c r="D94" s="76" t="s">
        <v>317</v>
      </c>
      <c r="E94" s="76" t="s">
        <v>318</v>
      </c>
      <c r="F94" s="85">
        <v>202400</v>
      </c>
      <c r="G94" s="5">
        <f t="shared" si="12"/>
        <v>18400</v>
      </c>
      <c r="H94" s="3">
        <v>2900</v>
      </c>
      <c r="I94" s="3">
        <v>7480</v>
      </c>
      <c r="J94" s="5">
        <f t="shared" si="17"/>
        <v>680</v>
      </c>
      <c r="K94" s="3">
        <f t="shared" si="13"/>
        <v>10380</v>
      </c>
      <c r="L94" s="3">
        <v>0</v>
      </c>
      <c r="M94" s="3">
        <v>0</v>
      </c>
      <c r="N94" s="3">
        <f t="shared" si="14"/>
        <v>0</v>
      </c>
      <c r="O94" s="3">
        <f t="shared" si="15"/>
        <v>212780</v>
      </c>
      <c r="P94" s="3">
        <v>27500</v>
      </c>
      <c r="Q94" s="3">
        <f t="shared" si="16"/>
        <v>185280</v>
      </c>
      <c r="R94" s="23" t="s">
        <v>43</v>
      </c>
      <c r="S94" s="8"/>
      <c r="T94" s="42" t="s">
        <v>84</v>
      </c>
      <c r="U94" s="36" t="s">
        <v>136</v>
      </c>
      <c r="V94" s="35" t="s">
        <v>87</v>
      </c>
    </row>
    <row r="95" spans="1:23" s="108" customFormat="1" ht="17" thickBot="1" x14ac:dyDescent="0.25">
      <c r="B95" s="124">
        <v>91</v>
      </c>
      <c r="C95" s="107">
        <v>46014</v>
      </c>
      <c r="D95" s="110" t="s">
        <v>387</v>
      </c>
      <c r="E95" s="110" t="s">
        <v>319</v>
      </c>
      <c r="F95" s="111">
        <v>201300</v>
      </c>
      <c r="G95" s="64">
        <f t="shared" si="12"/>
        <v>18300</v>
      </c>
      <c r="H95" s="9">
        <v>3950</v>
      </c>
      <c r="I95" s="9">
        <v>3830</v>
      </c>
      <c r="J95" s="64">
        <f t="shared" si="17"/>
        <v>348.1</v>
      </c>
      <c r="K95" s="9">
        <f t="shared" si="13"/>
        <v>7780</v>
      </c>
      <c r="L95" s="9">
        <v>0</v>
      </c>
      <c r="M95" s="9">
        <v>0</v>
      </c>
      <c r="N95" s="9">
        <f t="shared" si="14"/>
        <v>0</v>
      </c>
      <c r="O95" s="9">
        <f t="shared" si="15"/>
        <v>209080</v>
      </c>
      <c r="P95" s="9">
        <v>150000</v>
      </c>
      <c r="Q95" s="9">
        <f t="shared" si="16"/>
        <v>59080</v>
      </c>
      <c r="R95" s="55">
        <v>46014</v>
      </c>
      <c r="S95" s="23"/>
      <c r="T95" s="112" t="s">
        <v>61</v>
      </c>
      <c r="U95" s="113" t="s">
        <v>255</v>
      </c>
      <c r="V95" s="114" t="s">
        <v>138</v>
      </c>
    </row>
    <row r="96" spans="1:23" ht="17" thickBot="1" x14ac:dyDescent="0.25">
      <c r="B96" s="124">
        <v>92</v>
      </c>
      <c r="C96" s="33">
        <v>46380</v>
      </c>
      <c r="D96" s="90" t="s">
        <v>321</v>
      </c>
      <c r="E96" s="90" t="s">
        <v>322</v>
      </c>
      <c r="F96" s="3">
        <v>27500</v>
      </c>
      <c r="G96" s="5">
        <f t="shared" si="12"/>
        <v>2500</v>
      </c>
      <c r="H96" s="3">
        <v>0</v>
      </c>
      <c r="I96" s="3">
        <v>0</v>
      </c>
      <c r="J96" s="5">
        <f t="shared" si="17"/>
        <v>0</v>
      </c>
      <c r="K96" s="3">
        <f t="shared" si="13"/>
        <v>0</v>
      </c>
      <c r="L96" s="3">
        <v>0</v>
      </c>
      <c r="M96" s="3">
        <v>0</v>
      </c>
      <c r="N96" s="3">
        <f t="shared" si="14"/>
        <v>0</v>
      </c>
      <c r="O96" s="3">
        <f t="shared" si="15"/>
        <v>27500</v>
      </c>
      <c r="P96" s="3">
        <v>0</v>
      </c>
      <c r="Q96" s="3">
        <f t="shared" si="16"/>
        <v>27500</v>
      </c>
      <c r="R96" s="23" t="s">
        <v>43</v>
      </c>
      <c r="S96" s="8"/>
      <c r="T96" s="42" t="s">
        <v>61</v>
      </c>
      <c r="U96" s="36" t="s">
        <v>145</v>
      </c>
      <c r="V96" s="35" t="s">
        <v>320</v>
      </c>
    </row>
    <row r="97" spans="2:22" ht="17" thickBot="1" x14ac:dyDescent="0.25">
      <c r="B97" s="124">
        <v>93</v>
      </c>
      <c r="C97" s="33">
        <v>46380</v>
      </c>
      <c r="D97" s="91" t="s">
        <v>323</v>
      </c>
      <c r="E97" s="2" t="s">
        <v>324</v>
      </c>
      <c r="F97" s="3">
        <v>11000</v>
      </c>
      <c r="G97" s="5">
        <f t="shared" si="12"/>
        <v>1000</v>
      </c>
      <c r="H97" s="3">
        <v>0</v>
      </c>
      <c r="I97" s="3">
        <v>0</v>
      </c>
      <c r="J97" s="5">
        <f t="shared" si="17"/>
        <v>0</v>
      </c>
      <c r="K97" s="3">
        <f t="shared" si="13"/>
        <v>0</v>
      </c>
      <c r="L97" s="3">
        <v>0</v>
      </c>
      <c r="M97" s="3">
        <v>0</v>
      </c>
      <c r="N97" s="3">
        <f t="shared" si="14"/>
        <v>0</v>
      </c>
      <c r="O97" s="3">
        <f t="shared" si="15"/>
        <v>11000</v>
      </c>
      <c r="P97" s="3">
        <v>0</v>
      </c>
      <c r="Q97" s="3">
        <f t="shared" si="16"/>
        <v>11000</v>
      </c>
      <c r="R97" s="23" t="s">
        <v>43</v>
      </c>
      <c r="S97" s="8"/>
      <c r="T97" s="89" t="s">
        <v>61</v>
      </c>
      <c r="U97" s="87" t="s">
        <v>145</v>
      </c>
      <c r="V97" s="88" t="s">
        <v>146</v>
      </c>
    </row>
    <row r="98" spans="2:22" ht="17" thickBot="1" x14ac:dyDescent="0.25">
      <c r="B98" s="124">
        <v>94</v>
      </c>
      <c r="C98" s="33">
        <v>46380</v>
      </c>
      <c r="D98" s="90" t="s">
        <v>326</v>
      </c>
      <c r="E98" s="90" t="s">
        <v>325</v>
      </c>
      <c r="F98" s="3">
        <v>201960</v>
      </c>
      <c r="G98" s="5">
        <f t="shared" si="12"/>
        <v>18360</v>
      </c>
      <c r="H98" s="3">
        <v>4000</v>
      </c>
      <c r="I98" s="3">
        <v>4580</v>
      </c>
      <c r="J98" s="5">
        <f t="shared" si="17"/>
        <v>416.3</v>
      </c>
      <c r="K98" s="3">
        <f t="shared" si="13"/>
        <v>8580</v>
      </c>
      <c r="L98" s="3">
        <v>0</v>
      </c>
      <c r="M98" s="3">
        <v>0</v>
      </c>
      <c r="N98" s="3">
        <f t="shared" si="14"/>
        <v>0</v>
      </c>
      <c r="O98" s="3">
        <f t="shared" si="15"/>
        <v>210540</v>
      </c>
      <c r="P98" s="3">
        <v>201960</v>
      </c>
      <c r="Q98" s="3">
        <f t="shared" si="16"/>
        <v>8580</v>
      </c>
      <c r="R98" s="23" t="s">
        <v>43</v>
      </c>
      <c r="S98" s="8"/>
      <c r="T98" s="42" t="s">
        <v>61</v>
      </c>
      <c r="U98" s="36" t="s">
        <v>62</v>
      </c>
      <c r="V98" s="35" t="s">
        <v>146</v>
      </c>
    </row>
    <row r="99" spans="2:22" ht="17" thickBot="1" x14ac:dyDescent="0.25">
      <c r="B99" s="124">
        <v>95</v>
      </c>
      <c r="C99" s="33">
        <v>46380</v>
      </c>
      <c r="D99" s="91" t="s">
        <v>327</v>
      </c>
      <c r="E99" s="91" t="s">
        <v>328</v>
      </c>
      <c r="F99" s="3">
        <v>150700</v>
      </c>
      <c r="G99" s="5">
        <f t="shared" si="12"/>
        <v>13700</v>
      </c>
      <c r="H99" s="3">
        <v>300</v>
      </c>
      <c r="I99" s="3">
        <v>7800</v>
      </c>
      <c r="J99" s="5">
        <f t="shared" si="17"/>
        <v>709</v>
      </c>
      <c r="K99" s="3">
        <f t="shared" si="13"/>
        <v>8100</v>
      </c>
      <c r="L99" s="3">
        <v>0</v>
      </c>
      <c r="M99" s="3">
        <v>0</v>
      </c>
      <c r="N99" s="3">
        <f t="shared" si="14"/>
        <v>0</v>
      </c>
      <c r="O99" s="3">
        <f t="shared" si="15"/>
        <v>158800</v>
      </c>
      <c r="P99" s="3">
        <v>150700</v>
      </c>
      <c r="Q99" s="3">
        <f t="shared" si="16"/>
        <v>8100</v>
      </c>
      <c r="R99" s="23" t="s">
        <v>43</v>
      </c>
      <c r="S99" s="8"/>
      <c r="T99" s="89" t="s">
        <v>95</v>
      </c>
      <c r="U99" s="87" t="s">
        <v>96</v>
      </c>
      <c r="V99" s="88"/>
    </row>
    <row r="100" spans="2:22" ht="17" thickBot="1" x14ac:dyDescent="0.25">
      <c r="B100" s="124">
        <v>96</v>
      </c>
      <c r="C100" s="33">
        <v>46381</v>
      </c>
      <c r="D100" s="90" t="s">
        <v>329</v>
      </c>
      <c r="E100" s="90" t="s">
        <v>330</v>
      </c>
      <c r="F100" s="3">
        <v>115000</v>
      </c>
      <c r="G100" s="5">
        <f t="shared" si="12"/>
        <v>10454.5</v>
      </c>
      <c r="H100" s="3">
        <v>2550</v>
      </c>
      <c r="I100" s="3">
        <v>7450</v>
      </c>
      <c r="J100" s="5">
        <f t="shared" si="17"/>
        <v>677.2</v>
      </c>
      <c r="K100" s="3">
        <f t="shared" si="13"/>
        <v>10000</v>
      </c>
      <c r="L100" s="3">
        <v>0</v>
      </c>
      <c r="M100" s="3">
        <v>0</v>
      </c>
      <c r="N100" s="3">
        <f t="shared" si="14"/>
        <v>0</v>
      </c>
      <c r="O100" s="3">
        <f t="shared" si="15"/>
        <v>125000</v>
      </c>
      <c r="P100" s="3">
        <v>100000</v>
      </c>
      <c r="Q100" s="3">
        <f t="shared" si="16"/>
        <v>25000</v>
      </c>
      <c r="R100" s="23" t="s">
        <v>43</v>
      </c>
      <c r="S100" s="8"/>
      <c r="T100" s="42" t="s">
        <v>95</v>
      </c>
      <c r="U100" s="35" t="s">
        <v>96</v>
      </c>
    </row>
    <row r="101" spans="2:22" ht="17" thickBot="1" x14ac:dyDescent="0.25">
      <c r="B101" s="124">
        <v>97</v>
      </c>
      <c r="C101" s="33">
        <v>46380</v>
      </c>
      <c r="D101" s="2" t="s">
        <v>335</v>
      </c>
      <c r="E101" s="90" t="s">
        <v>331</v>
      </c>
      <c r="F101" s="3">
        <v>241560</v>
      </c>
      <c r="G101" s="5">
        <f t="shared" ref="G101:G111" si="18">ROUNDDOWN(F101/1.1*0.1,1)</f>
        <v>21960</v>
      </c>
      <c r="H101" s="3">
        <v>7670</v>
      </c>
      <c r="I101" s="3">
        <v>6850</v>
      </c>
      <c r="J101" s="5">
        <f t="shared" si="17"/>
        <v>622.70000000000005</v>
      </c>
      <c r="K101" s="3">
        <f t="shared" ref="K101:K110" si="19">H101+I101</f>
        <v>14520</v>
      </c>
      <c r="L101" s="3">
        <v>0</v>
      </c>
      <c r="M101" s="3">
        <v>0</v>
      </c>
      <c r="N101" s="3">
        <f t="shared" ref="N101:N105" si="20">L101+M101</f>
        <v>0</v>
      </c>
      <c r="O101" s="3">
        <f t="shared" ref="O101:O110" si="21">F101+K101</f>
        <v>256080</v>
      </c>
      <c r="P101" s="3">
        <v>241560</v>
      </c>
      <c r="Q101" s="3">
        <f t="shared" ref="Q101:Q110" si="22">O101-(P101+N101)</f>
        <v>14520</v>
      </c>
      <c r="R101" s="23" t="s">
        <v>43</v>
      </c>
      <c r="S101" s="8"/>
      <c r="T101" s="42" t="s">
        <v>61</v>
      </c>
      <c r="U101" s="36" t="s">
        <v>62</v>
      </c>
      <c r="V101" s="35" t="s">
        <v>146</v>
      </c>
    </row>
    <row r="102" spans="2:22" ht="17" thickBot="1" x14ac:dyDescent="0.25">
      <c r="B102" s="124">
        <v>98</v>
      </c>
      <c r="C102" s="33">
        <v>46379</v>
      </c>
      <c r="D102" s="2" t="s">
        <v>332</v>
      </c>
      <c r="E102" s="2" t="s">
        <v>333</v>
      </c>
      <c r="F102" s="3">
        <v>158400</v>
      </c>
      <c r="G102" s="5">
        <f t="shared" si="18"/>
        <v>14400</v>
      </c>
      <c r="H102" s="3">
        <v>2850</v>
      </c>
      <c r="I102" s="3">
        <v>4366</v>
      </c>
      <c r="J102" s="5">
        <f t="shared" ref="J102:J109" si="23">ROUNDDOWN(I102/1.1*0.1,1)</f>
        <v>396.9</v>
      </c>
      <c r="K102" s="3">
        <f t="shared" si="19"/>
        <v>7216</v>
      </c>
      <c r="L102" s="3">
        <v>0</v>
      </c>
      <c r="M102" s="3">
        <v>0</v>
      </c>
      <c r="N102" s="3">
        <f t="shared" si="20"/>
        <v>0</v>
      </c>
      <c r="O102" s="3">
        <f t="shared" si="21"/>
        <v>165616</v>
      </c>
      <c r="P102" s="3">
        <v>158400</v>
      </c>
      <c r="Q102" s="3">
        <f t="shared" si="22"/>
        <v>7216</v>
      </c>
      <c r="R102" s="23" t="s">
        <v>43</v>
      </c>
      <c r="S102" s="8"/>
      <c r="T102" s="42" t="s">
        <v>61</v>
      </c>
      <c r="U102" s="36" t="s">
        <v>145</v>
      </c>
      <c r="V102" s="35" t="s">
        <v>146</v>
      </c>
    </row>
    <row r="103" spans="2:22" ht="17" thickBot="1" x14ac:dyDescent="0.25">
      <c r="B103" s="124">
        <v>99</v>
      </c>
      <c r="C103" s="33">
        <v>46379</v>
      </c>
      <c r="D103" s="90" t="s">
        <v>342</v>
      </c>
      <c r="E103" s="90" t="s">
        <v>341</v>
      </c>
      <c r="F103" s="3">
        <v>737550</v>
      </c>
      <c r="G103" s="5">
        <f t="shared" si="18"/>
        <v>67050</v>
      </c>
      <c r="H103" s="3">
        <v>5950</v>
      </c>
      <c r="I103" s="3">
        <v>30855</v>
      </c>
      <c r="J103" s="5">
        <f t="shared" si="23"/>
        <v>2805</v>
      </c>
      <c r="K103" s="3">
        <f t="shared" si="19"/>
        <v>36805</v>
      </c>
      <c r="L103" s="3">
        <v>0</v>
      </c>
      <c r="M103" s="3">
        <v>0</v>
      </c>
      <c r="N103" s="3">
        <f t="shared" si="20"/>
        <v>0</v>
      </c>
      <c r="O103" s="3">
        <f t="shared" si="21"/>
        <v>774355</v>
      </c>
      <c r="P103" s="3">
        <v>200000</v>
      </c>
      <c r="Q103" s="3">
        <f t="shared" si="22"/>
        <v>574355</v>
      </c>
      <c r="R103" s="23" t="s">
        <v>43</v>
      </c>
      <c r="S103" s="8"/>
      <c r="T103" s="42" t="s">
        <v>35</v>
      </c>
      <c r="U103" s="35" t="s">
        <v>121</v>
      </c>
    </row>
    <row r="104" spans="2:22" ht="17" thickBot="1" x14ac:dyDescent="0.25">
      <c r="B104" s="124">
        <v>100</v>
      </c>
      <c r="C104" s="33">
        <v>46381</v>
      </c>
      <c r="D104" s="90" t="s">
        <v>343</v>
      </c>
      <c r="E104" s="2" t="s">
        <v>344</v>
      </c>
      <c r="F104" s="3">
        <v>281160</v>
      </c>
      <c r="G104" s="5">
        <f t="shared" si="18"/>
        <v>25560</v>
      </c>
      <c r="H104" s="3">
        <v>1550</v>
      </c>
      <c r="I104" s="3">
        <v>10260</v>
      </c>
      <c r="J104" s="5">
        <f t="shared" si="23"/>
        <v>932.7</v>
      </c>
      <c r="K104" s="3">
        <f t="shared" si="19"/>
        <v>11810</v>
      </c>
      <c r="L104" s="3">
        <v>0</v>
      </c>
      <c r="M104" s="3">
        <v>0</v>
      </c>
      <c r="N104" s="3">
        <f t="shared" si="20"/>
        <v>0</v>
      </c>
      <c r="O104" s="3">
        <f t="shared" si="21"/>
        <v>292970</v>
      </c>
      <c r="P104" s="3">
        <v>250000</v>
      </c>
      <c r="Q104" s="3">
        <f t="shared" si="22"/>
        <v>42970</v>
      </c>
      <c r="R104" s="23" t="s">
        <v>43</v>
      </c>
      <c r="S104" s="8"/>
      <c r="T104" s="42" t="s">
        <v>53</v>
      </c>
      <c r="U104" s="36" t="s">
        <v>89</v>
      </c>
      <c r="V104" s="35" t="s">
        <v>112</v>
      </c>
    </row>
    <row r="105" spans="2:22" ht="17" thickBot="1" x14ac:dyDescent="0.25">
      <c r="B105" s="124">
        <v>101</v>
      </c>
      <c r="C105" s="93">
        <v>46381</v>
      </c>
      <c r="D105" s="90" t="s">
        <v>348</v>
      </c>
      <c r="E105" s="95" t="s">
        <v>349</v>
      </c>
      <c r="F105" s="3">
        <v>33000</v>
      </c>
      <c r="G105" s="5">
        <f t="shared" si="18"/>
        <v>3000</v>
      </c>
      <c r="H105" s="3">
        <v>0</v>
      </c>
      <c r="I105" s="3">
        <v>0</v>
      </c>
      <c r="J105" s="5">
        <f t="shared" si="23"/>
        <v>0</v>
      </c>
      <c r="K105" s="3">
        <f t="shared" si="19"/>
        <v>0</v>
      </c>
      <c r="L105" s="3">
        <v>0</v>
      </c>
      <c r="M105" s="3">
        <v>0</v>
      </c>
      <c r="N105" s="3">
        <f t="shared" si="20"/>
        <v>0</v>
      </c>
      <c r="O105" s="3">
        <f t="shared" si="21"/>
        <v>33000</v>
      </c>
      <c r="P105" s="9">
        <v>33000</v>
      </c>
      <c r="Q105" s="3">
        <f t="shared" si="22"/>
        <v>0</v>
      </c>
      <c r="R105" s="23" t="s">
        <v>351</v>
      </c>
      <c r="S105" s="8"/>
      <c r="T105" s="42" t="s">
        <v>29</v>
      </c>
      <c r="U105" s="36" t="s">
        <v>111</v>
      </c>
      <c r="V105" s="35" t="s">
        <v>350</v>
      </c>
    </row>
    <row r="106" spans="2:22" x14ac:dyDescent="0.2">
      <c r="B106" s="124">
        <v>102</v>
      </c>
      <c r="C106" s="33">
        <v>46354</v>
      </c>
      <c r="D106" s="2" t="s">
        <v>353</v>
      </c>
      <c r="E106" s="2" t="s">
        <v>352</v>
      </c>
      <c r="F106" s="3">
        <v>343200</v>
      </c>
      <c r="G106" s="5">
        <f t="shared" si="18"/>
        <v>31200</v>
      </c>
      <c r="H106" s="3">
        <v>0</v>
      </c>
      <c r="I106" s="3">
        <v>0</v>
      </c>
      <c r="J106" s="5">
        <f t="shared" si="23"/>
        <v>0</v>
      </c>
      <c r="K106" s="3">
        <f t="shared" si="19"/>
        <v>0</v>
      </c>
      <c r="L106" s="3">
        <v>0</v>
      </c>
      <c r="M106" s="3">
        <v>0</v>
      </c>
      <c r="N106" s="3">
        <v>0</v>
      </c>
      <c r="O106" s="3">
        <f t="shared" si="21"/>
        <v>343200</v>
      </c>
      <c r="P106" s="3">
        <v>0</v>
      </c>
      <c r="Q106" s="3">
        <f t="shared" si="22"/>
        <v>343200</v>
      </c>
      <c r="R106" s="23" t="s">
        <v>43</v>
      </c>
      <c r="S106" s="8" t="s">
        <v>372</v>
      </c>
      <c r="T106" t="s">
        <v>29</v>
      </c>
      <c r="U106" t="s">
        <v>111</v>
      </c>
      <c r="V106" t="s">
        <v>87</v>
      </c>
    </row>
    <row r="107" spans="2:22" ht="13.5" thickBot="1" x14ac:dyDescent="0.25">
      <c r="B107" s="124">
        <v>103</v>
      </c>
      <c r="C107" s="33">
        <v>46354</v>
      </c>
      <c r="D107" s="2" t="s">
        <v>354</v>
      </c>
      <c r="E107" s="2" t="s">
        <v>352</v>
      </c>
      <c r="F107" s="3">
        <v>642400</v>
      </c>
      <c r="G107" s="5">
        <f t="shared" si="18"/>
        <v>58400</v>
      </c>
      <c r="H107" s="3">
        <v>1700</v>
      </c>
      <c r="I107" s="3">
        <v>18004</v>
      </c>
      <c r="J107" s="5">
        <f t="shared" si="23"/>
        <v>1636.7</v>
      </c>
      <c r="K107" s="3">
        <f t="shared" si="19"/>
        <v>19704</v>
      </c>
      <c r="L107" s="3">
        <v>0</v>
      </c>
      <c r="M107" s="3">
        <v>0</v>
      </c>
      <c r="N107" s="3">
        <v>0</v>
      </c>
      <c r="O107" s="3">
        <f t="shared" si="21"/>
        <v>662104</v>
      </c>
      <c r="P107" s="3">
        <v>642400</v>
      </c>
      <c r="Q107" s="3">
        <f t="shared" si="22"/>
        <v>19704</v>
      </c>
      <c r="R107" s="23" t="s">
        <v>43</v>
      </c>
      <c r="S107" s="8" t="s">
        <v>372</v>
      </c>
      <c r="T107" t="s">
        <v>29</v>
      </c>
      <c r="U107" t="s">
        <v>111</v>
      </c>
      <c r="V107" t="s">
        <v>87</v>
      </c>
    </row>
    <row r="108" spans="2:22" ht="17" thickBot="1" x14ac:dyDescent="0.25">
      <c r="B108" s="124">
        <v>104</v>
      </c>
      <c r="C108" s="33">
        <v>46364</v>
      </c>
      <c r="D108" s="91" t="s">
        <v>361</v>
      </c>
      <c r="E108" s="2" t="s">
        <v>362</v>
      </c>
      <c r="F108" s="3">
        <v>654500</v>
      </c>
      <c r="G108" s="5">
        <f t="shared" si="18"/>
        <v>59500</v>
      </c>
      <c r="H108" s="3">
        <v>22250</v>
      </c>
      <c r="I108" s="3">
        <v>76150</v>
      </c>
      <c r="J108" s="5">
        <f t="shared" si="23"/>
        <v>6922.7</v>
      </c>
      <c r="K108" s="3">
        <f t="shared" si="19"/>
        <v>98400</v>
      </c>
      <c r="L108" s="3">
        <v>0</v>
      </c>
      <c r="M108" s="3">
        <v>0</v>
      </c>
      <c r="N108" s="3">
        <v>0</v>
      </c>
      <c r="O108" s="3">
        <f t="shared" si="21"/>
        <v>752900</v>
      </c>
      <c r="P108" s="3">
        <v>654500</v>
      </c>
      <c r="Q108" s="3">
        <f t="shared" si="22"/>
        <v>98400</v>
      </c>
      <c r="R108" s="55">
        <v>46035</v>
      </c>
      <c r="S108" s="8"/>
      <c r="T108" s="104" t="s">
        <v>29</v>
      </c>
      <c r="U108" s="58" t="s">
        <v>111</v>
      </c>
      <c r="V108" s="59" t="s">
        <v>157</v>
      </c>
    </row>
    <row r="109" spans="2:22" ht="17" thickBot="1" x14ac:dyDescent="0.25">
      <c r="B109" s="124">
        <v>105</v>
      </c>
      <c r="C109" s="33">
        <v>46359</v>
      </c>
      <c r="D109" s="2" t="s">
        <v>371</v>
      </c>
      <c r="E109" s="102" t="s">
        <v>370</v>
      </c>
      <c r="F109" s="3">
        <v>303600</v>
      </c>
      <c r="G109" s="5">
        <f t="shared" si="18"/>
        <v>27600</v>
      </c>
      <c r="H109" s="3">
        <v>3150</v>
      </c>
      <c r="I109" s="3">
        <v>0</v>
      </c>
      <c r="J109" s="5">
        <f t="shared" si="23"/>
        <v>0</v>
      </c>
      <c r="K109" s="3">
        <f t="shared" si="19"/>
        <v>3150</v>
      </c>
      <c r="L109" s="3"/>
      <c r="M109" s="3"/>
      <c r="N109" s="3"/>
      <c r="O109" s="3">
        <f t="shared" si="21"/>
        <v>306750</v>
      </c>
      <c r="P109" s="3">
        <v>0</v>
      </c>
      <c r="Q109" s="3">
        <f t="shared" si="22"/>
        <v>306750</v>
      </c>
      <c r="R109" s="55">
        <v>46360</v>
      </c>
      <c r="S109" s="8"/>
      <c r="T109" s="104" t="s">
        <v>80</v>
      </c>
      <c r="U109" s="58" t="s">
        <v>81</v>
      </c>
      <c r="V109" s="59" t="s">
        <v>82</v>
      </c>
    </row>
    <row r="110" spans="2:22" ht="17" thickBot="1" x14ac:dyDescent="0.25">
      <c r="B110" s="124">
        <v>106</v>
      </c>
      <c r="C110" s="33">
        <v>46006</v>
      </c>
      <c r="D110" s="74" t="s">
        <v>286</v>
      </c>
      <c r="E110" s="74" t="s">
        <v>287</v>
      </c>
      <c r="F110" s="3">
        <v>185900</v>
      </c>
      <c r="G110" s="5">
        <f t="shared" si="18"/>
        <v>16900</v>
      </c>
      <c r="H110" s="3">
        <v>3810</v>
      </c>
      <c r="I110" s="3">
        <v>3000</v>
      </c>
      <c r="J110" s="5">
        <f>ROUNDDOWN(I110*0.1,1)</f>
        <v>300</v>
      </c>
      <c r="K110" s="3">
        <f t="shared" si="19"/>
        <v>6810</v>
      </c>
      <c r="L110" s="3">
        <v>0</v>
      </c>
      <c r="M110" s="3">
        <v>0</v>
      </c>
      <c r="N110" s="3">
        <f>L110+M110</f>
        <v>0</v>
      </c>
      <c r="O110" s="3">
        <f t="shared" si="21"/>
        <v>192710</v>
      </c>
      <c r="P110" s="3">
        <v>185900</v>
      </c>
      <c r="Q110" s="3">
        <f t="shared" si="22"/>
        <v>6810</v>
      </c>
      <c r="R110" s="23" t="s">
        <v>43</v>
      </c>
      <c r="S110" s="8" t="s">
        <v>288</v>
      </c>
      <c r="T110" s="42" t="s">
        <v>29</v>
      </c>
      <c r="U110" s="36" t="s">
        <v>30</v>
      </c>
      <c r="V110" s="35" t="s">
        <v>118</v>
      </c>
    </row>
    <row r="111" spans="2:22" ht="27.75" customHeight="1" x14ac:dyDescent="0.2">
      <c r="B111" s="127" t="s">
        <v>9</v>
      </c>
      <c r="C111" s="128"/>
      <c r="D111" s="128"/>
      <c r="E111" s="129"/>
      <c r="F111" s="29">
        <f>SUM(F5:F110)</f>
        <v>24968289</v>
      </c>
      <c r="G111" s="13">
        <f t="shared" si="18"/>
        <v>2269844.4</v>
      </c>
      <c r="H111" s="7">
        <f>SUM(H5:H110)</f>
        <v>402240</v>
      </c>
      <c r="I111" s="7">
        <f>SUM(I5:I110)</f>
        <v>1242721</v>
      </c>
      <c r="J111" s="13">
        <f>ROUNDDOWN(I111/1.1*0.1,1)</f>
        <v>112974.6</v>
      </c>
      <c r="K111" s="7">
        <f t="shared" ref="K111:Q111" si="24">SUM(K5:K110)</f>
        <v>1644961</v>
      </c>
      <c r="L111" s="7">
        <f t="shared" si="24"/>
        <v>0</v>
      </c>
      <c r="M111" s="7">
        <f t="shared" si="24"/>
        <v>0</v>
      </c>
      <c r="N111" s="7">
        <f t="shared" si="24"/>
        <v>0</v>
      </c>
      <c r="O111" s="7">
        <f t="shared" si="24"/>
        <v>26613250</v>
      </c>
      <c r="P111" s="7">
        <f t="shared" si="24"/>
        <v>14424840</v>
      </c>
      <c r="Q111" s="7">
        <f t="shared" si="24"/>
        <v>12188410</v>
      </c>
      <c r="R111" s="24"/>
      <c r="S111" s="7"/>
    </row>
    <row r="112" spans="2:22" ht="9" customHeight="1" x14ac:dyDescent="0.2"/>
    <row r="113" spans="5:6" ht="17.25" customHeight="1" x14ac:dyDescent="0.2"/>
    <row r="114" spans="5:6" ht="49.5" customHeight="1" x14ac:dyDescent="0.2">
      <c r="E114" s="10" t="s">
        <v>14</v>
      </c>
      <c r="F114" s="11">
        <f>F111+'第二営業部（きらぼし入金）'!F36</f>
        <v>33252058</v>
      </c>
    </row>
    <row r="130" spans="1:3" ht="13.5" thickBot="1" x14ac:dyDescent="0.25"/>
    <row r="131" spans="1:3" ht="17" thickBot="1" x14ac:dyDescent="0.25">
      <c r="A131" s="57"/>
      <c r="B131" s="58"/>
      <c r="C131" s="59"/>
    </row>
  </sheetData>
  <mergeCells count="15">
    <mergeCell ref="S36:S37"/>
    <mergeCell ref="H1:K2"/>
    <mergeCell ref="S3:S4"/>
    <mergeCell ref="E3:E4"/>
    <mergeCell ref="B3:B4"/>
    <mergeCell ref="F3:G3"/>
    <mergeCell ref="R3:R4"/>
    <mergeCell ref="B111:E111"/>
    <mergeCell ref="H3:K3"/>
    <mergeCell ref="O3:O4"/>
    <mergeCell ref="P3:P4"/>
    <mergeCell ref="Q3:Q4"/>
    <mergeCell ref="D3:D4"/>
    <mergeCell ref="L3:N3"/>
    <mergeCell ref="C3:C4"/>
  </mergeCells>
  <phoneticPr fontId="1"/>
  <pageMargins left="0.7" right="0.7" top="0.75" bottom="0.75" header="0.3" footer="0.3"/>
  <pageSetup paperSize="8" scale="4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  <pageSetUpPr fitToPage="1"/>
  </sheetPr>
  <dimension ref="A1:W36"/>
  <sheetViews>
    <sheetView workbookViewId="0">
      <pane ySplit="4" topLeftCell="A24" activePane="bottomLeft" state="frozen"/>
      <selection activeCell="A2" sqref="A2"/>
      <selection pane="bottomLeft" activeCell="I42" sqref="I42"/>
    </sheetView>
  </sheetViews>
  <sheetFormatPr defaultRowHeight="13" x14ac:dyDescent="0.2"/>
  <cols>
    <col min="1" max="1" width="9.6328125" customWidth="1"/>
    <col min="2" max="2" width="6.26953125" style="1" customWidth="1"/>
    <col min="3" max="3" width="8.453125" style="1" customWidth="1"/>
    <col min="4" max="4" width="11.453125" style="1" bestFit="1" customWidth="1"/>
    <col min="5" max="5" width="12.453125" bestFit="1" customWidth="1"/>
    <col min="6" max="6" width="12.08984375" bestFit="1" customWidth="1"/>
    <col min="7" max="7" width="11.26953125" bestFit="1" customWidth="1"/>
    <col min="9" max="9" width="11.08984375" customWidth="1"/>
    <col min="11" max="11" width="9.6328125" bestFit="1" customWidth="1"/>
    <col min="12" max="12" width="9.6328125" customWidth="1"/>
    <col min="13" max="14" width="11.08984375" customWidth="1"/>
    <col min="15" max="15" width="13" customWidth="1"/>
    <col min="16" max="16" width="14.26953125" customWidth="1"/>
    <col min="17" max="17" width="15.453125" customWidth="1"/>
    <col min="18" max="18" width="9.26953125" bestFit="1" customWidth="1"/>
    <col min="19" max="19" width="26.90625" customWidth="1"/>
  </cols>
  <sheetData>
    <row r="1" spans="1:23" ht="19" x14ac:dyDescent="0.2">
      <c r="A1" t="str">
        <f>'第一営業部（みずほ入金）'!A1</f>
        <v>行政書士法人　オーシャン12月分売上一覧表</v>
      </c>
      <c r="L1" s="21"/>
      <c r="M1" s="21"/>
      <c r="N1" s="21"/>
    </row>
    <row r="2" spans="1:23" ht="19" x14ac:dyDescent="0.2">
      <c r="L2" s="21"/>
      <c r="M2" s="21"/>
      <c r="N2" s="21"/>
    </row>
    <row r="3" spans="1:23" ht="18.75" customHeight="1" x14ac:dyDescent="0.2">
      <c r="B3" s="130"/>
      <c r="C3" s="133" t="s">
        <v>26</v>
      </c>
      <c r="D3" s="125" t="s">
        <v>11</v>
      </c>
      <c r="E3" s="133" t="s">
        <v>0</v>
      </c>
      <c r="F3" s="135" t="s">
        <v>1</v>
      </c>
      <c r="G3" s="136"/>
      <c r="H3" s="137" t="s">
        <v>2</v>
      </c>
      <c r="I3" s="138"/>
      <c r="J3" s="138"/>
      <c r="K3" s="135"/>
      <c r="L3" s="136" t="s">
        <v>15</v>
      </c>
      <c r="M3" s="136"/>
      <c r="N3" s="136"/>
      <c r="O3" s="133" t="s">
        <v>9</v>
      </c>
      <c r="P3" s="133" t="s">
        <v>3</v>
      </c>
      <c r="Q3" s="125" t="s">
        <v>8</v>
      </c>
      <c r="R3" s="133" t="s">
        <v>20</v>
      </c>
      <c r="S3" s="125" t="s">
        <v>12</v>
      </c>
    </row>
    <row r="4" spans="1:23" ht="27" customHeight="1" thickBot="1" x14ac:dyDescent="0.25">
      <c r="B4" s="131"/>
      <c r="C4" s="140"/>
      <c r="D4" s="132"/>
      <c r="E4" s="134"/>
      <c r="F4" s="28" t="s">
        <v>10</v>
      </c>
      <c r="G4" s="4" t="s">
        <v>4</v>
      </c>
      <c r="H4" s="4" t="s">
        <v>6</v>
      </c>
      <c r="I4" s="4" t="s">
        <v>7</v>
      </c>
      <c r="J4" s="4" t="s">
        <v>4</v>
      </c>
      <c r="K4" s="4" t="s">
        <v>5</v>
      </c>
      <c r="L4" s="22" t="s">
        <v>16</v>
      </c>
      <c r="M4" s="22" t="s">
        <v>17</v>
      </c>
      <c r="N4" s="22" t="s">
        <v>19</v>
      </c>
      <c r="O4" s="139"/>
      <c r="P4" s="139"/>
      <c r="Q4" s="126"/>
      <c r="R4" s="139"/>
      <c r="S4" s="126"/>
      <c r="T4" s="30" t="s">
        <v>21</v>
      </c>
      <c r="U4" s="30" t="s">
        <v>22</v>
      </c>
      <c r="V4" s="30" t="s">
        <v>23</v>
      </c>
      <c r="W4" s="30" t="s">
        <v>24</v>
      </c>
    </row>
    <row r="5" spans="1:23" ht="17" thickBot="1" x14ac:dyDescent="0.25">
      <c r="A5" s="34">
        <v>45993</v>
      </c>
      <c r="B5" s="123">
        <v>1</v>
      </c>
      <c r="C5" s="32">
        <v>45993</v>
      </c>
      <c r="D5" s="16" t="s">
        <v>38</v>
      </c>
      <c r="E5" s="37" t="s">
        <v>39</v>
      </c>
      <c r="F5" s="12">
        <v>607860</v>
      </c>
      <c r="G5" s="5">
        <f t="shared" ref="G5:G36" si="0">ROUNDDOWN(F5/1.1*0.1,1)</f>
        <v>55260</v>
      </c>
      <c r="H5" s="3">
        <v>8900</v>
      </c>
      <c r="I5" s="3">
        <v>4130</v>
      </c>
      <c r="J5" s="5">
        <f t="shared" ref="J5:J32" si="1">ROUNDDOWN(I5*0.1,1)</f>
        <v>413</v>
      </c>
      <c r="K5" s="3">
        <f t="shared" ref="K5:K26" si="2">H5+I5</f>
        <v>13030</v>
      </c>
      <c r="L5" s="3">
        <v>0</v>
      </c>
      <c r="M5" s="3">
        <v>0</v>
      </c>
      <c r="N5" s="3">
        <f t="shared" ref="N5:N26" si="3">L5+M5</f>
        <v>0</v>
      </c>
      <c r="O5" s="3">
        <f t="shared" ref="O5:O26" si="4">F5+K5</f>
        <v>620890</v>
      </c>
      <c r="P5" s="38">
        <v>200000</v>
      </c>
      <c r="Q5" s="40">
        <f t="shared" ref="Q5:Q26" si="5">O5-(P5+N5)</f>
        <v>420890</v>
      </c>
      <c r="R5" s="44" t="s">
        <v>43</v>
      </c>
      <c r="S5" s="141" t="s">
        <v>46</v>
      </c>
      <c r="T5" s="42" t="s">
        <v>40</v>
      </c>
      <c r="U5" s="36" t="s">
        <v>41</v>
      </c>
      <c r="V5" s="35" t="s">
        <v>42</v>
      </c>
    </row>
    <row r="6" spans="1:23" ht="17" thickBot="1" x14ac:dyDescent="0.25">
      <c r="B6" s="123">
        <v>2</v>
      </c>
      <c r="C6" s="32">
        <v>45993</v>
      </c>
      <c r="D6" s="16" t="s">
        <v>44</v>
      </c>
      <c r="E6" s="37" t="s">
        <v>45</v>
      </c>
      <c r="F6" s="12">
        <v>14850</v>
      </c>
      <c r="G6" s="5">
        <f t="shared" si="0"/>
        <v>1350</v>
      </c>
      <c r="H6" s="9">
        <v>0</v>
      </c>
      <c r="I6" s="9">
        <v>0</v>
      </c>
      <c r="J6" s="5">
        <f t="shared" si="1"/>
        <v>0</v>
      </c>
      <c r="K6" s="3">
        <f t="shared" si="2"/>
        <v>0</v>
      </c>
      <c r="L6" s="3">
        <v>0</v>
      </c>
      <c r="M6" s="3">
        <v>0</v>
      </c>
      <c r="N6" s="3">
        <f t="shared" si="3"/>
        <v>0</v>
      </c>
      <c r="O6" s="3">
        <f t="shared" si="4"/>
        <v>14850</v>
      </c>
      <c r="P6" s="38">
        <v>0</v>
      </c>
      <c r="Q6" s="43">
        <f t="shared" si="5"/>
        <v>14850</v>
      </c>
      <c r="R6" s="44" t="s">
        <v>43</v>
      </c>
      <c r="S6" s="142"/>
      <c r="T6" s="42" t="s">
        <v>40</v>
      </c>
      <c r="U6" s="35" t="s">
        <v>41</v>
      </c>
    </row>
    <row r="7" spans="1:23" ht="24.5" thickBot="1" x14ac:dyDescent="0.25">
      <c r="A7" s="34">
        <v>45994</v>
      </c>
      <c r="B7" s="123">
        <v>3</v>
      </c>
      <c r="C7" s="32">
        <v>45993</v>
      </c>
      <c r="D7" s="16" t="s">
        <v>49</v>
      </c>
      <c r="E7" s="47" t="s">
        <v>50</v>
      </c>
      <c r="F7" s="12">
        <v>44000</v>
      </c>
      <c r="G7" s="5">
        <f t="shared" si="0"/>
        <v>4000</v>
      </c>
      <c r="H7" s="9">
        <v>1500</v>
      </c>
      <c r="I7" s="9">
        <v>3300</v>
      </c>
      <c r="J7" s="5">
        <f t="shared" si="1"/>
        <v>330</v>
      </c>
      <c r="K7" s="3">
        <f t="shared" si="2"/>
        <v>4800</v>
      </c>
      <c r="L7" s="3">
        <v>0</v>
      </c>
      <c r="M7" s="3">
        <v>0</v>
      </c>
      <c r="N7" s="3">
        <f t="shared" si="3"/>
        <v>0</v>
      </c>
      <c r="O7" s="3">
        <f t="shared" si="4"/>
        <v>48800</v>
      </c>
      <c r="P7" s="3">
        <v>0</v>
      </c>
      <c r="Q7" s="18">
        <f t="shared" si="5"/>
        <v>48800</v>
      </c>
      <c r="R7" s="23" t="s">
        <v>43</v>
      </c>
      <c r="S7" s="25"/>
      <c r="T7" s="46" t="s">
        <v>53</v>
      </c>
      <c r="U7" s="35" t="s">
        <v>54</v>
      </c>
    </row>
    <row r="8" spans="1:23" ht="25" thickBot="1" x14ac:dyDescent="0.25">
      <c r="B8" s="123">
        <v>4</v>
      </c>
      <c r="C8" s="32">
        <v>45993</v>
      </c>
      <c r="D8" s="16" t="s">
        <v>51</v>
      </c>
      <c r="E8" s="16" t="s">
        <v>52</v>
      </c>
      <c r="F8" s="12">
        <v>55000</v>
      </c>
      <c r="G8" s="5">
        <f t="shared" si="0"/>
        <v>5000</v>
      </c>
      <c r="H8" s="9">
        <v>0</v>
      </c>
      <c r="I8" s="9">
        <v>3300</v>
      </c>
      <c r="J8" s="5">
        <f t="shared" si="1"/>
        <v>330</v>
      </c>
      <c r="K8" s="3">
        <f t="shared" si="2"/>
        <v>3300</v>
      </c>
      <c r="L8" s="3">
        <v>0</v>
      </c>
      <c r="M8" s="3">
        <v>0</v>
      </c>
      <c r="N8" s="3">
        <f t="shared" si="3"/>
        <v>0</v>
      </c>
      <c r="O8" s="14">
        <f t="shared" si="4"/>
        <v>58300</v>
      </c>
      <c r="P8" s="3">
        <v>0</v>
      </c>
      <c r="Q8" s="3">
        <f t="shared" si="5"/>
        <v>58300</v>
      </c>
      <c r="R8" s="23" t="s">
        <v>43</v>
      </c>
      <c r="S8" s="8"/>
      <c r="T8" s="46" t="s">
        <v>53</v>
      </c>
      <c r="U8" s="35" t="s">
        <v>54</v>
      </c>
    </row>
    <row r="9" spans="1:23" ht="17" thickBot="1" x14ac:dyDescent="0.25">
      <c r="B9" s="123">
        <v>5</v>
      </c>
      <c r="C9" s="32">
        <v>45993</v>
      </c>
      <c r="D9" s="16" t="s">
        <v>55</v>
      </c>
      <c r="E9" s="47" t="s">
        <v>56</v>
      </c>
      <c r="F9" s="12">
        <v>191400</v>
      </c>
      <c r="G9" s="5">
        <f t="shared" si="0"/>
        <v>17400</v>
      </c>
      <c r="H9" s="9">
        <v>1400</v>
      </c>
      <c r="I9" s="9">
        <v>5500</v>
      </c>
      <c r="J9" s="5">
        <f t="shared" si="1"/>
        <v>550</v>
      </c>
      <c r="K9" s="3">
        <f t="shared" si="2"/>
        <v>6900</v>
      </c>
      <c r="L9" s="3">
        <v>0</v>
      </c>
      <c r="M9" s="3">
        <v>0</v>
      </c>
      <c r="N9" s="3">
        <f t="shared" si="3"/>
        <v>0</v>
      </c>
      <c r="O9" s="14">
        <f t="shared" si="4"/>
        <v>198300</v>
      </c>
      <c r="P9" s="3">
        <v>191400</v>
      </c>
      <c r="Q9" s="3">
        <f t="shared" si="5"/>
        <v>6900</v>
      </c>
      <c r="R9" s="23" t="s">
        <v>43</v>
      </c>
      <c r="S9" s="8"/>
      <c r="T9" s="46" t="s">
        <v>40</v>
      </c>
      <c r="U9" s="36" t="s">
        <v>57</v>
      </c>
      <c r="V9" s="35" t="s">
        <v>58</v>
      </c>
    </row>
    <row r="10" spans="1:23" x14ac:dyDescent="0.2">
      <c r="A10" s="34">
        <v>45997</v>
      </c>
      <c r="B10" s="123">
        <v>6</v>
      </c>
      <c r="C10" s="32">
        <v>45996</v>
      </c>
      <c r="D10" s="16" t="s">
        <v>98</v>
      </c>
      <c r="E10" s="16" t="s">
        <v>86</v>
      </c>
      <c r="F10" s="12">
        <v>152900</v>
      </c>
      <c r="G10" s="5">
        <f t="shared" si="0"/>
        <v>13900</v>
      </c>
      <c r="H10" s="9">
        <v>3050</v>
      </c>
      <c r="I10" s="9">
        <v>6640</v>
      </c>
      <c r="J10" s="5">
        <f t="shared" si="1"/>
        <v>664</v>
      </c>
      <c r="K10" s="3">
        <f t="shared" si="2"/>
        <v>9690</v>
      </c>
      <c r="L10" s="3">
        <v>0</v>
      </c>
      <c r="M10" s="3">
        <v>0</v>
      </c>
      <c r="N10" s="3">
        <f t="shared" si="3"/>
        <v>0</v>
      </c>
      <c r="O10" s="14">
        <f t="shared" si="4"/>
        <v>162590</v>
      </c>
      <c r="P10" s="3">
        <v>114400</v>
      </c>
      <c r="Q10" s="3">
        <f t="shared" si="5"/>
        <v>48190</v>
      </c>
      <c r="R10" s="23" t="s">
        <v>43</v>
      </c>
      <c r="S10" s="8"/>
      <c r="T10" t="s">
        <v>40</v>
      </c>
      <c r="U10" t="s">
        <v>57</v>
      </c>
      <c r="V10" t="s">
        <v>87</v>
      </c>
    </row>
    <row r="11" spans="1:23" x14ac:dyDescent="0.2">
      <c r="B11" s="123">
        <v>7</v>
      </c>
      <c r="C11" s="32">
        <v>45995</v>
      </c>
      <c r="D11" s="16" t="s">
        <v>99</v>
      </c>
      <c r="E11" s="20" t="s">
        <v>88</v>
      </c>
      <c r="F11" s="12">
        <v>290810</v>
      </c>
      <c r="G11" s="5">
        <f t="shared" si="0"/>
        <v>26437.200000000001</v>
      </c>
      <c r="H11" s="9">
        <v>1700</v>
      </c>
      <c r="I11" s="9">
        <v>29500</v>
      </c>
      <c r="J11" s="5">
        <f t="shared" si="1"/>
        <v>2950</v>
      </c>
      <c r="K11" s="3">
        <f t="shared" si="2"/>
        <v>31200</v>
      </c>
      <c r="L11" s="3">
        <v>0</v>
      </c>
      <c r="M11" s="3">
        <v>0</v>
      </c>
      <c r="N11" s="3">
        <f t="shared" si="3"/>
        <v>0</v>
      </c>
      <c r="O11" s="14">
        <f t="shared" si="4"/>
        <v>322010</v>
      </c>
      <c r="P11" s="3">
        <v>290810</v>
      </c>
      <c r="Q11" s="3">
        <f t="shared" si="5"/>
        <v>31200</v>
      </c>
      <c r="R11" s="23" t="s">
        <v>43</v>
      </c>
      <c r="S11" s="8"/>
      <c r="T11" t="s">
        <v>53</v>
      </c>
      <c r="U11" t="s">
        <v>89</v>
      </c>
    </row>
    <row r="12" spans="1:23" ht="16.5" customHeight="1" x14ac:dyDescent="0.2">
      <c r="B12" s="123">
        <v>8</v>
      </c>
      <c r="C12" s="32">
        <v>45996</v>
      </c>
      <c r="D12" s="16" t="s">
        <v>100</v>
      </c>
      <c r="E12" s="16" t="s">
        <v>90</v>
      </c>
      <c r="F12" s="12">
        <v>103400</v>
      </c>
      <c r="G12" s="5">
        <f t="shared" si="0"/>
        <v>9400</v>
      </c>
      <c r="H12" s="9">
        <v>900</v>
      </c>
      <c r="I12" s="9">
        <v>260</v>
      </c>
      <c r="J12" s="5">
        <f t="shared" si="1"/>
        <v>26</v>
      </c>
      <c r="K12" s="3">
        <f t="shared" si="2"/>
        <v>1160</v>
      </c>
      <c r="L12" s="3">
        <v>0</v>
      </c>
      <c r="M12" s="3">
        <v>0</v>
      </c>
      <c r="N12" s="3">
        <f t="shared" si="3"/>
        <v>0</v>
      </c>
      <c r="O12" s="3">
        <f t="shared" si="4"/>
        <v>104560</v>
      </c>
      <c r="P12" s="3">
        <v>0</v>
      </c>
      <c r="Q12" s="3">
        <f t="shared" si="5"/>
        <v>104560</v>
      </c>
      <c r="R12" s="23" t="s">
        <v>43</v>
      </c>
      <c r="S12" s="8"/>
      <c r="T12" t="s">
        <v>40</v>
      </c>
      <c r="U12" t="s">
        <v>57</v>
      </c>
    </row>
    <row r="13" spans="1:23" x14ac:dyDescent="0.2">
      <c r="A13" s="34">
        <v>46000</v>
      </c>
      <c r="B13" s="123">
        <v>9</v>
      </c>
      <c r="C13" s="32">
        <v>45999</v>
      </c>
      <c r="D13" s="16" t="s">
        <v>150</v>
      </c>
      <c r="E13" s="16" t="s">
        <v>151</v>
      </c>
      <c r="F13" s="12">
        <v>41800</v>
      </c>
      <c r="G13" s="5">
        <f t="shared" si="0"/>
        <v>3800</v>
      </c>
      <c r="H13" s="3">
        <v>3300</v>
      </c>
      <c r="I13" s="3">
        <v>6620</v>
      </c>
      <c r="J13" s="5">
        <f t="shared" si="1"/>
        <v>662</v>
      </c>
      <c r="K13" s="3">
        <f t="shared" si="2"/>
        <v>9920</v>
      </c>
      <c r="L13" s="3">
        <v>0</v>
      </c>
      <c r="M13" s="3">
        <v>0</v>
      </c>
      <c r="N13" s="3">
        <f t="shared" si="3"/>
        <v>0</v>
      </c>
      <c r="O13" s="3">
        <f t="shared" si="4"/>
        <v>51720</v>
      </c>
      <c r="P13" s="3">
        <v>41800</v>
      </c>
      <c r="Q13" s="3">
        <f t="shared" si="5"/>
        <v>9920</v>
      </c>
      <c r="R13" s="23" t="s">
        <v>43</v>
      </c>
      <c r="S13" s="8"/>
      <c r="T13" t="s">
        <v>53</v>
      </c>
      <c r="U13" t="s">
        <v>89</v>
      </c>
    </row>
    <row r="14" spans="1:23" ht="24.5" thickBot="1" x14ac:dyDescent="0.25">
      <c r="B14" s="123">
        <v>10</v>
      </c>
      <c r="C14" s="32">
        <v>45999</v>
      </c>
      <c r="D14" s="16" t="s">
        <v>152</v>
      </c>
      <c r="E14" s="47" t="s">
        <v>153</v>
      </c>
      <c r="F14" s="12">
        <v>272800</v>
      </c>
      <c r="G14" s="5">
        <f t="shared" si="0"/>
        <v>24800</v>
      </c>
      <c r="H14" s="3">
        <v>2200</v>
      </c>
      <c r="I14" s="3">
        <v>1720</v>
      </c>
      <c r="J14" s="5">
        <f t="shared" si="1"/>
        <v>172</v>
      </c>
      <c r="K14" s="3">
        <f t="shared" si="2"/>
        <v>3920</v>
      </c>
      <c r="L14" s="3">
        <v>0</v>
      </c>
      <c r="M14" s="3">
        <v>0</v>
      </c>
      <c r="N14" s="3">
        <f t="shared" si="3"/>
        <v>0</v>
      </c>
      <c r="O14" s="3">
        <f t="shared" si="4"/>
        <v>276720</v>
      </c>
      <c r="P14" s="3">
        <v>272800</v>
      </c>
      <c r="Q14" s="3">
        <f t="shared" si="5"/>
        <v>3920</v>
      </c>
      <c r="R14" s="23" t="s">
        <v>43</v>
      </c>
      <c r="S14" s="8" t="s">
        <v>154</v>
      </c>
      <c r="T14" t="s">
        <v>53</v>
      </c>
      <c r="U14" t="s">
        <v>54</v>
      </c>
    </row>
    <row r="15" spans="1:23" ht="17" thickBot="1" x14ac:dyDescent="0.25">
      <c r="A15" s="34">
        <v>46001</v>
      </c>
      <c r="B15" s="123">
        <v>11</v>
      </c>
      <c r="C15" s="32">
        <v>46000</v>
      </c>
      <c r="D15" s="16" t="s">
        <v>166</v>
      </c>
      <c r="E15" s="65" t="s">
        <v>167</v>
      </c>
      <c r="F15" s="12">
        <v>1087819</v>
      </c>
      <c r="G15" s="5">
        <f t="shared" si="0"/>
        <v>98892.6</v>
      </c>
      <c r="H15" s="3">
        <v>89300</v>
      </c>
      <c r="I15" s="3">
        <v>148062</v>
      </c>
      <c r="J15" s="5">
        <f t="shared" si="1"/>
        <v>14806.2</v>
      </c>
      <c r="K15" s="3">
        <f t="shared" si="2"/>
        <v>237362</v>
      </c>
      <c r="L15" s="3">
        <v>0</v>
      </c>
      <c r="M15" s="3">
        <v>0</v>
      </c>
      <c r="N15" s="3">
        <f t="shared" si="3"/>
        <v>0</v>
      </c>
      <c r="O15" s="3">
        <f t="shared" si="4"/>
        <v>1325181</v>
      </c>
      <c r="P15" s="3">
        <v>200000</v>
      </c>
      <c r="Q15" s="3">
        <f t="shared" si="5"/>
        <v>1125181</v>
      </c>
      <c r="R15" s="23" t="s">
        <v>43</v>
      </c>
      <c r="S15" s="8"/>
      <c r="T15" s="46" t="s">
        <v>92</v>
      </c>
      <c r="U15" s="36" t="s">
        <v>93</v>
      </c>
      <c r="V15" s="35" t="s">
        <v>87</v>
      </c>
      <c r="W15" s="49" t="s">
        <v>168</v>
      </c>
    </row>
    <row r="16" spans="1:23" ht="17" thickBot="1" x14ac:dyDescent="0.25">
      <c r="B16" s="123">
        <v>12</v>
      </c>
      <c r="C16" s="32">
        <v>46000</v>
      </c>
      <c r="D16" s="81" t="s">
        <v>169</v>
      </c>
      <c r="E16" s="82" t="s">
        <v>170</v>
      </c>
      <c r="F16" s="12">
        <v>225720</v>
      </c>
      <c r="G16" s="5">
        <f t="shared" si="0"/>
        <v>20520</v>
      </c>
      <c r="H16" s="3">
        <v>2650</v>
      </c>
      <c r="I16" s="3">
        <v>4370</v>
      </c>
      <c r="J16" s="5">
        <f t="shared" si="1"/>
        <v>437</v>
      </c>
      <c r="K16" s="3">
        <f t="shared" si="2"/>
        <v>7020</v>
      </c>
      <c r="L16" s="3">
        <v>0</v>
      </c>
      <c r="M16" s="3">
        <v>0</v>
      </c>
      <c r="N16" s="3">
        <f t="shared" si="3"/>
        <v>0</v>
      </c>
      <c r="O16" s="3">
        <f t="shared" si="4"/>
        <v>232740</v>
      </c>
      <c r="P16" s="3">
        <v>200000</v>
      </c>
      <c r="Q16" s="3">
        <f t="shared" si="5"/>
        <v>32740</v>
      </c>
      <c r="R16" s="23" t="s">
        <v>43</v>
      </c>
      <c r="S16" s="8"/>
      <c r="T16" s="46" t="s">
        <v>53</v>
      </c>
      <c r="U16" s="36" t="s">
        <v>89</v>
      </c>
      <c r="V16" s="35" t="s">
        <v>171</v>
      </c>
    </row>
    <row r="17" spans="1:23" ht="25.5" thickBot="1" x14ac:dyDescent="0.25">
      <c r="B17" s="123">
        <v>13</v>
      </c>
      <c r="C17" s="32">
        <v>46000</v>
      </c>
      <c r="D17" s="19" t="s">
        <v>172</v>
      </c>
      <c r="E17" s="50" t="s">
        <v>173</v>
      </c>
      <c r="F17" s="12">
        <v>0</v>
      </c>
      <c r="G17" s="5">
        <f t="shared" si="0"/>
        <v>0</v>
      </c>
      <c r="H17" s="3">
        <v>35300</v>
      </c>
      <c r="I17" s="3">
        <v>4360</v>
      </c>
      <c r="J17" s="5">
        <f t="shared" si="1"/>
        <v>436</v>
      </c>
      <c r="K17" s="3">
        <f t="shared" si="2"/>
        <v>39660</v>
      </c>
      <c r="L17" s="3">
        <v>0</v>
      </c>
      <c r="M17" s="3">
        <v>0</v>
      </c>
      <c r="N17" s="3">
        <f t="shared" si="3"/>
        <v>0</v>
      </c>
      <c r="O17" s="3">
        <f t="shared" si="4"/>
        <v>39660</v>
      </c>
      <c r="P17" s="3">
        <v>0</v>
      </c>
      <c r="Q17" s="3">
        <f t="shared" si="5"/>
        <v>39660</v>
      </c>
      <c r="R17" s="23" t="s">
        <v>43</v>
      </c>
      <c r="S17" s="8"/>
      <c r="T17" s="46" t="s">
        <v>53</v>
      </c>
      <c r="U17" s="36" t="s">
        <v>54</v>
      </c>
      <c r="V17" s="35" t="s">
        <v>174</v>
      </c>
    </row>
    <row r="18" spans="1:23" ht="17" thickBot="1" x14ac:dyDescent="0.25">
      <c r="A18" s="34">
        <v>46008</v>
      </c>
      <c r="B18" s="123">
        <v>14</v>
      </c>
      <c r="C18" s="32">
        <v>46002</v>
      </c>
      <c r="D18" s="74" t="s">
        <v>223</v>
      </c>
      <c r="E18" s="83" t="s">
        <v>224</v>
      </c>
      <c r="F18" s="12">
        <v>97460</v>
      </c>
      <c r="G18" s="5">
        <f t="shared" si="0"/>
        <v>8860</v>
      </c>
      <c r="H18" s="3">
        <v>2300</v>
      </c>
      <c r="I18" s="3">
        <v>3830</v>
      </c>
      <c r="J18" s="5">
        <f t="shared" si="1"/>
        <v>383</v>
      </c>
      <c r="K18" s="3">
        <f t="shared" si="2"/>
        <v>6130</v>
      </c>
      <c r="L18" s="3">
        <v>0</v>
      </c>
      <c r="M18" s="3">
        <v>0</v>
      </c>
      <c r="N18" s="3">
        <f t="shared" si="3"/>
        <v>0</v>
      </c>
      <c r="O18" s="3">
        <f t="shared" si="4"/>
        <v>103590</v>
      </c>
      <c r="P18" s="3">
        <v>0</v>
      </c>
      <c r="Q18" s="3">
        <f t="shared" si="5"/>
        <v>103590</v>
      </c>
      <c r="R18" s="23" t="s">
        <v>43</v>
      </c>
      <c r="S18" s="8"/>
      <c r="T18" s="46" t="s">
        <v>40</v>
      </c>
      <c r="U18" s="36" t="s">
        <v>57</v>
      </c>
      <c r="V18" s="35" t="s">
        <v>225</v>
      </c>
    </row>
    <row r="19" spans="1:23" ht="17" thickBot="1" x14ac:dyDescent="0.25">
      <c r="B19" s="123">
        <v>15</v>
      </c>
      <c r="C19" s="32">
        <v>46002</v>
      </c>
      <c r="D19" s="74" t="s">
        <v>226</v>
      </c>
      <c r="E19" s="74" t="s">
        <v>227</v>
      </c>
      <c r="F19" s="12">
        <v>3062400</v>
      </c>
      <c r="G19" s="5">
        <f t="shared" si="0"/>
        <v>278400</v>
      </c>
      <c r="H19" s="3">
        <v>6200</v>
      </c>
      <c r="I19" s="3">
        <v>27840</v>
      </c>
      <c r="J19" s="5">
        <f t="shared" si="1"/>
        <v>2784</v>
      </c>
      <c r="K19" s="3">
        <f t="shared" si="2"/>
        <v>34040</v>
      </c>
      <c r="L19" s="3">
        <v>0</v>
      </c>
      <c r="M19" s="3">
        <v>0</v>
      </c>
      <c r="N19" s="3">
        <f t="shared" si="3"/>
        <v>0</v>
      </c>
      <c r="O19" s="3">
        <f t="shared" si="4"/>
        <v>3096440</v>
      </c>
      <c r="P19" s="3">
        <v>400000</v>
      </c>
      <c r="Q19" s="3">
        <f t="shared" si="5"/>
        <v>2696440</v>
      </c>
      <c r="R19" s="23" t="s">
        <v>43</v>
      </c>
      <c r="S19" s="8"/>
      <c r="T19" s="46" t="s">
        <v>53</v>
      </c>
      <c r="U19" s="36" t="s">
        <v>89</v>
      </c>
      <c r="V19" s="35" t="s">
        <v>68</v>
      </c>
    </row>
    <row r="20" spans="1:23" ht="17" thickBot="1" x14ac:dyDescent="0.25">
      <c r="B20" s="123">
        <v>16</v>
      </c>
      <c r="C20" s="32">
        <v>46003</v>
      </c>
      <c r="D20" s="74" t="s">
        <v>228</v>
      </c>
      <c r="E20" s="74" t="s">
        <v>229</v>
      </c>
      <c r="F20" s="12">
        <v>44000</v>
      </c>
      <c r="G20" s="5">
        <f t="shared" si="0"/>
        <v>4000</v>
      </c>
      <c r="H20" s="3">
        <v>7050</v>
      </c>
      <c r="I20" s="3">
        <v>20430</v>
      </c>
      <c r="J20" s="5">
        <f t="shared" si="1"/>
        <v>2043</v>
      </c>
      <c r="K20" s="3">
        <f t="shared" si="2"/>
        <v>27480</v>
      </c>
      <c r="L20" s="3">
        <v>0</v>
      </c>
      <c r="M20" s="3">
        <v>0</v>
      </c>
      <c r="N20" s="3">
        <f t="shared" si="3"/>
        <v>0</v>
      </c>
      <c r="O20" s="3">
        <f t="shared" si="4"/>
        <v>71480</v>
      </c>
      <c r="P20" s="3">
        <v>44000</v>
      </c>
      <c r="Q20" s="3">
        <f t="shared" si="5"/>
        <v>27480</v>
      </c>
      <c r="R20" s="23" t="s">
        <v>43</v>
      </c>
      <c r="S20" s="8"/>
      <c r="T20" s="46" t="s">
        <v>40</v>
      </c>
      <c r="U20" s="36" t="s">
        <v>57</v>
      </c>
      <c r="V20" s="35" t="s">
        <v>71</v>
      </c>
    </row>
    <row r="21" spans="1:23" ht="17" thickBot="1" x14ac:dyDescent="0.25">
      <c r="B21" s="123">
        <v>17</v>
      </c>
      <c r="C21" s="32">
        <v>46003</v>
      </c>
      <c r="D21" s="73" t="s">
        <v>230</v>
      </c>
      <c r="E21" s="84" t="s">
        <v>231</v>
      </c>
      <c r="F21" s="12">
        <v>196020</v>
      </c>
      <c r="G21" s="5">
        <f t="shared" si="0"/>
        <v>17820</v>
      </c>
      <c r="H21" s="3">
        <v>11400</v>
      </c>
      <c r="I21" s="3">
        <v>11240</v>
      </c>
      <c r="J21" s="5">
        <f t="shared" si="1"/>
        <v>1124</v>
      </c>
      <c r="K21" s="3">
        <f t="shared" si="2"/>
        <v>22640</v>
      </c>
      <c r="L21" s="3">
        <v>0</v>
      </c>
      <c r="M21" s="3">
        <v>0</v>
      </c>
      <c r="N21" s="3">
        <f t="shared" si="3"/>
        <v>0</v>
      </c>
      <c r="O21" s="3">
        <f t="shared" si="4"/>
        <v>218660</v>
      </c>
      <c r="P21" s="3">
        <v>196020</v>
      </c>
      <c r="Q21" s="3">
        <f t="shared" si="5"/>
        <v>22640</v>
      </c>
      <c r="R21" s="55">
        <v>46004</v>
      </c>
      <c r="S21" s="8"/>
      <c r="T21" s="57" t="s">
        <v>53</v>
      </c>
      <c r="U21" s="58" t="s">
        <v>54</v>
      </c>
      <c r="V21" s="59" t="s">
        <v>68</v>
      </c>
    </row>
    <row r="22" spans="1:23" ht="17" thickBot="1" x14ac:dyDescent="0.25">
      <c r="B22" s="123">
        <v>18</v>
      </c>
      <c r="C22" s="32">
        <v>46003</v>
      </c>
      <c r="D22" s="74" t="s">
        <v>232</v>
      </c>
      <c r="E22" s="74" t="s">
        <v>233</v>
      </c>
      <c r="F22" s="12">
        <v>451000</v>
      </c>
      <c r="G22" s="5">
        <f t="shared" si="0"/>
        <v>41000</v>
      </c>
      <c r="H22" s="3">
        <v>1800</v>
      </c>
      <c r="I22" s="3">
        <v>18900</v>
      </c>
      <c r="J22" s="5">
        <f t="shared" si="1"/>
        <v>1890</v>
      </c>
      <c r="K22" s="3">
        <f t="shared" si="2"/>
        <v>20700</v>
      </c>
      <c r="L22" s="3">
        <v>0</v>
      </c>
      <c r="M22" s="3">
        <v>0</v>
      </c>
      <c r="N22" s="3">
        <f t="shared" si="3"/>
        <v>0</v>
      </c>
      <c r="O22" s="3">
        <f t="shared" si="4"/>
        <v>471700</v>
      </c>
      <c r="P22" s="3">
        <v>200000</v>
      </c>
      <c r="Q22" s="3">
        <f t="shared" si="5"/>
        <v>271700</v>
      </c>
      <c r="R22" s="23" t="s">
        <v>43</v>
      </c>
      <c r="S22" s="8"/>
      <c r="T22" s="46" t="s">
        <v>92</v>
      </c>
      <c r="U22" s="36" t="s">
        <v>93</v>
      </c>
      <c r="V22" s="35" t="s">
        <v>234</v>
      </c>
    </row>
    <row r="23" spans="1:23" ht="17" thickBot="1" x14ac:dyDescent="0.25">
      <c r="B23" s="123">
        <v>19</v>
      </c>
      <c r="C23" s="32">
        <v>46006</v>
      </c>
      <c r="D23" s="74" t="s">
        <v>235</v>
      </c>
      <c r="E23" s="74" t="s">
        <v>236</v>
      </c>
      <c r="F23" s="12">
        <v>235400</v>
      </c>
      <c r="G23" s="5">
        <f t="shared" si="0"/>
        <v>21400</v>
      </c>
      <c r="H23" s="3">
        <v>5700</v>
      </c>
      <c r="I23" s="3">
        <v>6230</v>
      </c>
      <c r="J23" s="5">
        <f t="shared" si="1"/>
        <v>623</v>
      </c>
      <c r="K23" s="3">
        <f t="shared" si="2"/>
        <v>11930</v>
      </c>
      <c r="L23" s="3">
        <v>0</v>
      </c>
      <c r="M23" s="3">
        <v>0</v>
      </c>
      <c r="N23" s="3">
        <f t="shared" si="3"/>
        <v>0</v>
      </c>
      <c r="O23" s="3">
        <f t="shared" si="4"/>
        <v>247330</v>
      </c>
      <c r="P23" s="3">
        <v>200000</v>
      </c>
      <c r="Q23" s="3">
        <f t="shared" si="5"/>
        <v>47330</v>
      </c>
      <c r="R23" s="23" t="s">
        <v>43</v>
      </c>
      <c r="S23" s="8"/>
      <c r="T23" s="46" t="s">
        <v>92</v>
      </c>
      <c r="U23" s="36" t="s">
        <v>93</v>
      </c>
      <c r="V23" s="35" t="s">
        <v>121</v>
      </c>
    </row>
    <row r="24" spans="1:23" ht="17" thickBot="1" x14ac:dyDescent="0.25">
      <c r="A24" s="34">
        <v>46013</v>
      </c>
      <c r="B24" s="123">
        <v>20</v>
      </c>
      <c r="C24" s="32">
        <v>46010</v>
      </c>
      <c r="D24" s="74" t="s">
        <v>282</v>
      </c>
      <c r="E24" s="74" t="s">
        <v>283</v>
      </c>
      <c r="F24" s="12">
        <v>60500</v>
      </c>
      <c r="G24" s="5">
        <f t="shared" si="0"/>
        <v>5500</v>
      </c>
      <c r="H24" s="3">
        <v>8450</v>
      </c>
      <c r="I24" s="3">
        <v>6670</v>
      </c>
      <c r="J24" s="5">
        <f t="shared" si="1"/>
        <v>667</v>
      </c>
      <c r="K24" s="3">
        <f t="shared" si="2"/>
        <v>15120</v>
      </c>
      <c r="L24" s="3">
        <v>0</v>
      </c>
      <c r="M24" s="3">
        <v>0</v>
      </c>
      <c r="N24" s="3">
        <f t="shared" si="3"/>
        <v>0</v>
      </c>
      <c r="O24" s="3">
        <f t="shared" si="4"/>
        <v>75620</v>
      </c>
      <c r="P24" s="3">
        <v>60500</v>
      </c>
      <c r="Q24" s="3">
        <f t="shared" si="5"/>
        <v>15120</v>
      </c>
      <c r="R24" s="23" t="s">
        <v>43</v>
      </c>
      <c r="S24" s="8"/>
      <c r="T24" s="46" t="s">
        <v>53</v>
      </c>
      <c r="U24" s="36" t="s">
        <v>54</v>
      </c>
      <c r="V24" s="35" t="s">
        <v>77</v>
      </c>
    </row>
    <row r="25" spans="1:23" ht="17" thickBot="1" x14ac:dyDescent="0.25">
      <c r="B25" s="123">
        <v>21</v>
      </c>
      <c r="C25" s="32">
        <v>46011</v>
      </c>
      <c r="D25" s="74" t="s">
        <v>284</v>
      </c>
      <c r="E25" s="74" t="s">
        <v>285</v>
      </c>
      <c r="F25" s="12">
        <v>121000</v>
      </c>
      <c r="G25" s="5">
        <f t="shared" si="0"/>
        <v>11000</v>
      </c>
      <c r="H25" s="3">
        <v>11400</v>
      </c>
      <c r="I25" s="3">
        <v>8780</v>
      </c>
      <c r="J25" s="5">
        <f t="shared" si="1"/>
        <v>878</v>
      </c>
      <c r="K25" s="3">
        <f t="shared" si="2"/>
        <v>20180</v>
      </c>
      <c r="L25" s="3">
        <v>0</v>
      </c>
      <c r="M25" s="3">
        <v>0</v>
      </c>
      <c r="N25" s="3">
        <f t="shared" si="3"/>
        <v>0</v>
      </c>
      <c r="O25" s="3">
        <f t="shared" si="4"/>
        <v>141180</v>
      </c>
      <c r="P25" s="3">
        <v>121000</v>
      </c>
      <c r="Q25" s="3">
        <f t="shared" si="5"/>
        <v>20180</v>
      </c>
      <c r="R25" s="23" t="s">
        <v>43</v>
      </c>
      <c r="S25" s="8"/>
      <c r="T25" s="46" t="s">
        <v>40</v>
      </c>
      <c r="U25" s="35" t="s">
        <v>41</v>
      </c>
    </row>
    <row r="26" spans="1:23" ht="17" thickBot="1" x14ac:dyDescent="0.25">
      <c r="A26" s="34">
        <v>46015</v>
      </c>
      <c r="B26" s="123">
        <v>22</v>
      </c>
      <c r="C26" s="33">
        <v>46014</v>
      </c>
      <c r="D26" s="74" t="s">
        <v>311</v>
      </c>
      <c r="E26" s="74" t="s">
        <v>312</v>
      </c>
      <c r="F26" s="12">
        <v>48510</v>
      </c>
      <c r="G26" s="5">
        <f t="shared" si="0"/>
        <v>4410</v>
      </c>
      <c r="H26" s="3">
        <v>14800</v>
      </c>
      <c r="I26" s="3">
        <v>15650</v>
      </c>
      <c r="J26" s="5">
        <f t="shared" si="1"/>
        <v>1565</v>
      </c>
      <c r="K26" s="3">
        <f t="shared" si="2"/>
        <v>30450</v>
      </c>
      <c r="L26" s="3">
        <v>0</v>
      </c>
      <c r="M26" s="3">
        <v>0</v>
      </c>
      <c r="N26" s="3">
        <f t="shared" si="3"/>
        <v>0</v>
      </c>
      <c r="O26" s="3">
        <f t="shared" si="4"/>
        <v>78960</v>
      </c>
      <c r="P26" s="3">
        <v>48510</v>
      </c>
      <c r="Q26" s="3">
        <f t="shared" si="5"/>
        <v>30450</v>
      </c>
      <c r="R26" s="23" t="s">
        <v>43</v>
      </c>
      <c r="S26" s="8"/>
      <c r="T26" s="46" t="s">
        <v>53</v>
      </c>
      <c r="U26" s="36" t="s">
        <v>89</v>
      </c>
      <c r="V26" s="35" t="s">
        <v>37</v>
      </c>
    </row>
    <row r="27" spans="1:23" ht="13.5" thickBot="1" x14ac:dyDescent="0.25">
      <c r="B27" s="123">
        <v>23</v>
      </c>
      <c r="C27" s="96">
        <v>46381</v>
      </c>
      <c r="D27" s="97" t="s">
        <v>345</v>
      </c>
      <c r="E27" s="98" t="s">
        <v>346</v>
      </c>
      <c r="F27" s="99">
        <v>119900</v>
      </c>
      <c r="G27" s="100">
        <f t="shared" si="0"/>
        <v>10900</v>
      </c>
      <c r="H27" s="3">
        <v>7850</v>
      </c>
      <c r="I27" s="3">
        <v>8790</v>
      </c>
      <c r="J27" s="5">
        <f t="shared" si="1"/>
        <v>879</v>
      </c>
      <c r="K27" s="3">
        <v>16640</v>
      </c>
      <c r="L27" s="3">
        <v>0</v>
      </c>
      <c r="M27" s="3">
        <v>0</v>
      </c>
      <c r="N27" s="3">
        <v>0</v>
      </c>
      <c r="O27" s="3">
        <v>136540</v>
      </c>
      <c r="P27" s="3">
        <v>119900</v>
      </c>
      <c r="Q27" s="3">
        <v>16640</v>
      </c>
      <c r="R27" s="23" t="s">
        <v>31</v>
      </c>
      <c r="S27" s="8"/>
      <c r="T27" t="s">
        <v>347</v>
      </c>
      <c r="U27" t="s">
        <v>85</v>
      </c>
      <c r="V27" t="s">
        <v>58</v>
      </c>
    </row>
    <row r="28" spans="1:23" ht="17" thickBot="1" x14ac:dyDescent="0.25">
      <c r="B28" s="123">
        <v>24</v>
      </c>
      <c r="C28" s="33">
        <v>46375</v>
      </c>
      <c r="D28" s="41" t="s">
        <v>355</v>
      </c>
      <c r="E28" s="41" t="s">
        <v>356</v>
      </c>
      <c r="F28" s="12">
        <v>346500</v>
      </c>
      <c r="G28" s="5">
        <f t="shared" si="0"/>
        <v>31500</v>
      </c>
      <c r="H28" s="3">
        <v>2500</v>
      </c>
      <c r="I28" s="3">
        <v>24896</v>
      </c>
      <c r="J28" s="5">
        <f t="shared" si="1"/>
        <v>2489.6</v>
      </c>
      <c r="K28" s="3">
        <f t="shared" ref="K28:K35" si="6">H28+I28</f>
        <v>27396</v>
      </c>
      <c r="L28" s="3">
        <v>0</v>
      </c>
      <c r="M28" s="3">
        <v>0</v>
      </c>
      <c r="N28" s="3">
        <f t="shared" ref="N28:N35" si="7">L28+M28</f>
        <v>0</v>
      </c>
      <c r="O28" s="3">
        <f t="shared" ref="O28:O35" si="8">F28+K28</f>
        <v>373896</v>
      </c>
      <c r="P28" s="3">
        <v>50000</v>
      </c>
      <c r="Q28" s="3">
        <f t="shared" ref="Q28:Q35" si="9">O28-(P28+N28)</f>
        <v>323896</v>
      </c>
      <c r="R28" s="23" t="s">
        <v>31</v>
      </c>
      <c r="S28" s="8"/>
      <c r="T28" s="42" t="s">
        <v>347</v>
      </c>
      <c r="U28" s="36" t="s">
        <v>57</v>
      </c>
      <c r="V28" s="35" t="s">
        <v>87</v>
      </c>
    </row>
    <row r="29" spans="1:23" ht="25" thickBot="1" x14ac:dyDescent="0.25">
      <c r="B29" s="123">
        <v>25</v>
      </c>
      <c r="C29" s="33">
        <v>46312</v>
      </c>
      <c r="D29" s="19" t="s">
        <v>360</v>
      </c>
      <c r="E29" s="101" t="s">
        <v>357</v>
      </c>
      <c r="F29" s="94">
        <v>22000</v>
      </c>
      <c r="G29" s="17">
        <f t="shared" si="0"/>
        <v>2000</v>
      </c>
      <c r="H29" s="3">
        <v>0</v>
      </c>
      <c r="I29" s="3">
        <v>3300</v>
      </c>
      <c r="J29" s="5">
        <f t="shared" si="1"/>
        <v>330</v>
      </c>
      <c r="K29" s="3">
        <f t="shared" si="6"/>
        <v>3300</v>
      </c>
      <c r="L29" s="3">
        <v>0</v>
      </c>
      <c r="M29" s="3">
        <v>0</v>
      </c>
      <c r="N29" s="3">
        <f t="shared" si="7"/>
        <v>0</v>
      </c>
      <c r="O29" s="3">
        <f t="shared" si="8"/>
        <v>25300</v>
      </c>
      <c r="P29" s="3">
        <v>0</v>
      </c>
      <c r="Q29" s="3">
        <f t="shared" si="9"/>
        <v>25300</v>
      </c>
      <c r="R29" s="55">
        <v>46381</v>
      </c>
      <c r="S29" s="8" t="s">
        <v>373</v>
      </c>
      <c r="T29" s="104" t="s">
        <v>358</v>
      </c>
      <c r="U29" s="58" t="s">
        <v>54</v>
      </c>
      <c r="V29" s="58" t="s">
        <v>87</v>
      </c>
      <c r="W29" s="59"/>
    </row>
    <row r="30" spans="1:23" ht="25.5" customHeight="1" thickBot="1" x14ac:dyDescent="0.25">
      <c r="B30" s="123">
        <v>26</v>
      </c>
      <c r="C30" s="33">
        <v>46371</v>
      </c>
      <c r="D30" s="19" t="s">
        <v>359</v>
      </c>
      <c r="E30" s="101" t="s">
        <v>357</v>
      </c>
      <c r="F30" s="12">
        <v>22000</v>
      </c>
      <c r="G30" s="5">
        <f t="shared" si="0"/>
        <v>2000</v>
      </c>
      <c r="H30" s="3">
        <v>0</v>
      </c>
      <c r="I30" s="3">
        <v>3300</v>
      </c>
      <c r="J30" s="5">
        <f t="shared" si="1"/>
        <v>330</v>
      </c>
      <c r="K30" s="3">
        <f t="shared" si="6"/>
        <v>3300</v>
      </c>
      <c r="L30" s="3">
        <v>0</v>
      </c>
      <c r="M30" s="3">
        <v>0</v>
      </c>
      <c r="N30" s="3">
        <f t="shared" si="7"/>
        <v>0</v>
      </c>
      <c r="O30" s="3">
        <f t="shared" si="8"/>
        <v>25300</v>
      </c>
      <c r="P30" s="3">
        <v>0</v>
      </c>
      <c r="Q30" s="3">
        <f t="shared" si="9"/>
        <v>25300</v>
      </c>
      <c r="R30" s="55">
        <v>46381</v>
      </c>
      <c r="S30" s="8"/>
      <c r="T30" s="104" t="s">
        <v>358</v>
      </c>
      <c r="U30" s="58" t="s">
        <v>54</v>
      </c>
      <c r="V30" s="59" t="s">
        <v>87</v>
      </c>
    </row>
    <row r="31" spans="1:23" ht="17" thickBot="1" x14ac:dyDescent="0.25">
      <c r="B31" s="123">
        <v>27</v>
      </c>
      <c r="C31" s="33">
        <v>46368</v>
      </c>
      <c r="D31" s="19" t="s">
        <v>363</v>
      </c>
      <c r="E31" s="102" t="s">
        <v>364</v>
      </c>
      <c r="F31" s="12">
        <v>25300</v>
      </c>
      <c r="G31" s="5">
        <f t="shared" si="0"/>
        <v>2300</v>
      </c>
      <c r="H31" s="3">
        <v>3350</v>
      </c>
      <c r="I31" s="3">
        <v>4640</v>
      </c>
      <c r="J31" s="5">
        <f t="shared" si="1"/>
        <v>464</v>
      </c>
      <c r="K31" s="3">
        <f t="shared" si="6"/>
        <v>7990</v>
      </c>
      <c r="L31" s="3">
        <v>0</v>
      </c>
      <c r="M31" s="3">
        <v>0</v>
      </c>
      <c r="N31" s="3">
        <f t="shared" si="7"/>
        <v>0</v>
      </c>
      <c r="O31" s="3">
        <f t="shared" si="8"/>
        <v>33290</v>
      </c>
      <c r="P31" s="3">
        <v>25300</v>
      </c>
      <c r="Q31" s="3">
        <f t="shared" si="9"/>
        <v>7990</v>
      </c>
      <c r="R31" s="55">
        <v>46371</v>
      </c>
      <c r="S31" s="8"/>
      <c r="T31" s="104" t="s">
        <v>347</v>
      </c>
      <c r="U31" s="58" t="s">
        <v>85</v>
      </c>
      <c r="V31" s="59" t="s">
        <v>365</v>
      </c>
    </row>
    <row r="32" spans="1:23" ht="17" thickBot="1" x14ac:dyDescent="0.25">
      <c r="B32" s="123">
        <v>28</v>
      </c>
      <c r="C32" s="33">
        <v>46379</v>
      </c>
      <c r="D32" s="102" t="s">
        <v>366</v>
      </c>
      <c r="E32" s="103" t="s">
        <v>367</v>
      </c>
      <c r="F32" s="12">
        <v>96800</v>
      </c>
      <c r="G32" s="5">
        <f t="shared" si="0"/>
        <v>8800</v>
      </c>
      <c r="H32" s="3">
        <v>0</v>
      </c>
      <c r="I32" s="3">
        <v>10610</v>
      </c>
      <c r="J32" s="5">
        <f t="shared" si="1"/>
        <v>1061</v>
      </c>
      <c r="K32" s="3">
        <f t="shared" si="6"/>
        <v>10610</v>
      </c>
      <c r="L32" s="3">
        <v>0</v>
      </c>
      <c r="M32" s="3">
        <v>0</v>
      </c>
      <c r="N32" s="3">
        <f t="shared" si="7"/>
        <v>0</v>
      </c>
      <c r="O32" s="3">
        <f t="shared" si="8"/>
        <v>107410</v>
      </c>
      <c r="P32" s="3">
        <v>96800</v>
      </c>
      <c r="Q32" s="3">
        <f t="shared" si="9"/>
        <v>10610</v>
      </c>
      <c r="R32" s="55">
        <v>46383</v>
      </c>
      <c r="S32" s="8"/>
      <c r="T32" s="104" t="s">
        <v>358</v>
      </c>
      <c r="U32" s="58" t="s">
        <v>54</v>
      </c>
      <c r="V32" s="59" t="s">
        <v>112</v>
      </c>
    </row>
    <row r="33" spans="2:22" ht="17" thickBot="1" x14ac:dyDescent="0.25">
      <c r="B33" s="123">
        <v>29</v>
      </c>
      <c r="C33" s="92">
        <v>46380</v>
      </c>
      <c r="D33" s="90" t="s">
        <v>340</v>
      </c>
      <c r="E33" s="90" t="s">
        <v>339</v>
      </c>
      <c r="F33" s="12">
        <v>142560</v>
      </c>
      <c r="G33" s="5">
        <f t="shared" si="0"/>
        <v>12960</v>
      </c>
      <c r="H33" s="3">
        <v>4150</v>
      </c>
      <c r="I33" s="3">
        <v>5560</v>
      </c>
      <c r="J33" s="5">
        <f>ROUNDDOWN(I33/1.1*0.1,1)</f>
        <v>505.4</v>
      </c>
      <c r="K33" s="3">
        <f t="shared" si="6"/>
        <v>9710</v>
      </c>
      <c r="L33" s="3">
        <v>0</v>
      </c>
      <c r="M33" s="3">
        <v>0</v>
      </c>
      <c r="N33" s="3">
        <f t="shared" si="7"/>
        <v>0</v>
      </c>
      <c r="O33" s="3">
        <f t="shared" si="8"/>
        <v>152270</v>
      </c>
      <c r="P33" s="3">
        <v>142560</v>
      </c>
      <c r="Q33" s="3">
        <f t="shared" si="9"/>
        <v>9710</v>
      </c>
      <c r="R33" s="23" t="s">
        <v>43</v>
      </c>
      <c r="S33" s="8"/>
      <c r="T33" s="42" t="s">
        <v>53</v>
      </c>
      <c r="U33" s="35" t="s">
        <v>89</v>
      </c>
    </row>
    <row r="34" spans="2:22" ht="17" thickBot="1" x14ac:dyDescent="0.25">
      <c r="B34" s="123">
        <v>30</v>
      </c>
      <c r="C34" s="92">
        <v>46379</v>
      </c>
      <c r="D34" s="90" t="s">
        <v>337</v>
      </c>
      <c r="E34" s="90" t="s">
        <v>338</v>
      </c>
      <c r="F34" s="12">
        <v>93060</v>
      </c>
      <c r="G34" s="5">
        <f t="shared" si="0"/>
        <v>8460</v>
      </c>
      <c r="H34" s="3">
        <v>2250</v>
      </c>
      <c r="I34" s="3">
        <v>4550</v>
      </c>
      <c r="J34" s="5">
        <f>ROUNDDOWN(I34/1.1*0.1,1)</f>
        <v>413.6</v>
      </c>
      <c r="K34" s="3">
        <f t="shared" si="6"/>
        <v>6800</v>
      </c>
      <c r="L34" s="3">
        <v>0</v>
      </c>
      <c r="M34" s="3">
        <v>0</v>
      </c>
      <c r="N34" s="3">
        <f t="shared" si="7"/>
        <v>0</v>
      </c>
      <c r="O34" s="3">
        <f t="shared" si="8"/>
        <v>99860</v>
      </c>
      <c r="P34" s="3">
        <v>93060</v>
      </c>
      <c r="Q34" s="3">
        <f t="shared" si="9"/>
        <v>6800</v>
      </c>
      <c r="R34" s="23" t="s">
        <v>43</v>
      </c>
      <c r="S34" s="8"/>
      <c r="T34" s="42" t="s">
        <v>53</v>
      </c>
      <c r="U34" s="35" t="s">
        <v>89</v>
      </c>
    </row>
    <row r="35" spans="2:22" ht="17" thickBot="1" x14ac:dyDescent="0.25">
      <c r="B35" s="123">
        <v>31</v>
      </c>
      <c r="C35" s="33">
        <v>46374</v>
      </c>
      <c r="D35" s="90" t="s">
        <v>336</v>
      </c>
      <c r="E35" s="90" t="s">
        <v>334</v>
      </c>
      <c r="F35" s="12">
        <v>11000</v>
      </c>
      <c r="G35" s="5">
        <f t="shared" si="0"/>
        <v>1000</v>
      </c>
      <c r="H35" s="3">
        <v>0</v>
      </c>
      <c r="I35" s="3">
        <v>0</v>
      </c>
      <c r="J35" s="5">
        <f>ROUNDDOWN(I35/1.1*0.1,1)</f>
        <v>0</v>
      </c>
      <c r="K35" s="3">
        <f t="shared" si="6"/>
        <v>0</v>
      </c>
      <c r="L35" s="3">
        <v>0</v>
      </c>
      <c r="M35" s="3">
        <v>0</v>
      </c>
      <c r="N35" s="3">
        <f t="shared" si="7"/>
        <v>0</v>
      </c>
      <c r="O35" s="3">
        <f t="shared" si="8"/>
        <v>11000</v>
      </c>
      <c r="P35" s="3">
        <v>11000</v>
      </c>
      <c r="Q35" s="3">
        <f t="shared" si="9"/>
        <v>0</v>
      </c>
      <c r="R35" s="23" t="s">
        <v>43</v>
      </c>
      <c r="S35" s="8"/>
      <c r="T35" s="42" t="s">
        <v>40</v>
      </c>
      <c r="U35" s="36" t="s">
        <v>57</v>
      </c>
      <c r="V35" s="35" t="s">
        <v>142</v>
      </c>
    </row>
    <row r="36" spans="2:22" ht="27.75" customHeight="1" x14ac:dyDescent="0.2">
      <c r="B36" s="127" t="s">
        <v>9</v>
      </c>
      <c r="C36" s="128"/>
      <c r="D36" s="128"/>
      <c r="E36" s="129"/>
      <c r="F36" s="29">
        <f>SUM(F5:F35)</f>
        <v>8283769</v>
      </c>
      <c r="G36" s="13">
        <f t="shared" si="0"/>
        <v>753069.9</v>
      </c>
      <c r="H36" s="7">
        <f>SUM(H5:H35)</f>
        <v>239400</v>
      </c>
      <c r="I36" s="7">
        <f>SUM(I5:I35)</f>
        <v>402978</v>
      </c>
      <c r="J36" s="6">
        <f>ROUNDDOWN(I36/1.1*0.1,1)</f>
        <v>36634.300000000003</v>
      </c>
      <c r="K36" s="7">
        <f t="shared" ref="K36:Q36" si="10">SUM(K5:K35)</f>
        <v>642378</v>
      </c>
      <c r="L36" s="7">
        <f t="shared" si="10"/>
        <v>0</v>
      </c>
      <c r="M36" s="7">
        <f t="shared" si="10"/>
        <v>0</v>
      </c>
      <c r="N36" s="7">
        <f t="shared" si="10"/>
        <v>0</v>
      </c>
      <c r="O36" s="7">
        <f t="shared" si="10"/>
        <v>8926147</v>
      </c>
      <c r="P36" s="7">
        <f t="shared" si="10"/>
        <v>3319860</v>
      </c>
      <c r="Q36" s="7">
        <f t="shared" si="10"/>
        <v>5606287</v>
      </c>
      <c r="R36" s="24"/>
      <c r="S36" s="24"/>
    </row>
  </sheetData>
  <mergeCells count="14">
    <mergeCell ref="S3:S4"/>
    <mergeCell ref="B36:E36"/>
    <mergeCell ref="B3:B4"/>
    <mergeCell ref="D3:D4"/>
    <mergeCell ref="E3:E4"/>
    <mergeCell ref="F3:G3"/>
    <mergeCell ref="H3:K3"/>
    <mergeCell ref="O3:O4"/>
    <mergeCell ref="P3:P4"/>
    <mergeCell ref="Q3:Q4"/>
    <mergeCell ref="R3:R4"/>
    <mergeCell ref="L3:N3"/>
    <mergeCell ref="C3:C4"/>
    <mergeCell ref="S5:S6"/>
  </mergeCells>
  <phoneticPr fontId="1"/>
  <pageMargins left="0.25" right="0.25" top="0.75" bottom="0.75" header="0.3" footer="0.3"/>
  <pageSetup paperSize="9" scale="7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第一営業部（みずほ入金）</vt:lpstr>
      <vt:lpstr>第二営業部（きらぼし入金）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PC83</dc:creator>
  <cp:lastModifiedBy>優 福島</cp:lastModifiedBy>
  <cp:lastPrinted>2026-01-23T05:56:53Z</cp:lastPrinted>
  <dcterms:created xsi:type="dcterms:W3CDTF">2015-11-20T00:21:37Z</dcterms:created>
  <dcterms:modified xsi:type="dcterms:W3CDTF">2026-07-30T00:19:20Z</dcterms:modified>
</cp:coreProperties>
</file>