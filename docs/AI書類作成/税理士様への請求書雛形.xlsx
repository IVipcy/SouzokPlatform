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c-0319\Desktop\"/>
    </mc:Choice>
  </mc:AlternateContent>
  <xr:revisionPtr revIDLastSave="0" documentId="8_{551E8806-33D4-47AA-9284-AD909FFF6D03}" xr6:coauthVersionLast="47" xr6:coauthVersionMax="47" xr10:uidLastSave="{00000000-0000-0000-0000-000000000000}"/>
  <bookViews>
    <workbookView xWindow="-120" yWindow="-120" windowWidth="29040" windowHeight="15720" activeTab="1" xr2:uid="{75C08E3A-FB95-4D97-98EC-BC6D816B1665}"/>
  </bookViews>
  <sheets>
    <sheet name="コンパッソ税理士法人" sheetId="3" r:id="rId1"/>
    <sheet name="S-9.LM2 (2)" sheetId="2" r:id="rId2"/>
  </sheets>
  <externalReferences>
    <externalReference r:id="rId3"/>
    <externalReference r:id="rId4"/>
    <externalReference r:id="rId5"/>
    <externalReference r:id="rId6"/>
  </externalReferences>
  <definedNames>
    <definedName name="Ａ">#REF!</definedName>
    <definedName name="_xlnm.Print_Area" localSheetId="1">'S-9.LM2 (2)'!$A$1:$H$31</definedName>
    <definedName name="_xlnm.Print_Area" localSheetId="0">コンパッソ税理士法人!$A$1:$H$29</definedName>
    <definedName name="委任状画像">INDIRECT([2]委任状!$AA$5)</definedName>
    <definedName name="遺言" comment="遺言のみ遺言一般">INDIRECT('[2]委任状 (遺言・生前贈与)'!$AA$4)</definedName>
    <definedName name="徽章1" localSheetId="1">INDIRECT('[3]請求書（税抜'!$R$9:$V$9)</definedName>
    <definedName name="徽章1" localSheetId="0">INDIRECT('[3]請求書（税抜'!$R$9:$V$9)</definedName>
    <definedName name="徽章1">INDIRECT('[3]請求書（税抜'!$R$9:$V$9)</definedName>
    <definedName name="徽章2" localSheetId="1">INDIRECT('[4]請求書（前受金）行'!$R$9:$V$9)</definedName>
    <definedName name="徽章2" localSheetId="0">INDIRECT('[4]請求書（前受金）行'!$R$9:$V$9)</definedName>
    <definedName name="徽章2">INDIRECT('[4]請求書（前受金）行'!$R$9:$V$9)</definedName>
    <definedName name="徽章3" localSheetId="1">INDIRECT('[4]請求書 (確定) 司'!$R$9:$V$9)</definedName>
    <definedName name="徽章3" localSheetId="0">INDIRECT('[4]請求書 (確定) 司'!$R$9:$V$9)</definedName>
    <definedName name="徽章3">INDIRECT('[4]請求書 (確定) 司'!$R$9:$V$9)</definedName>
    <definedName name="徽章4" localSheetId="1">INDIRECT('[4]請求書 (確定)行'!$R$9:$V$9)</definedName>
    <definedName name="徽章4" localSheetId="0">INDIRECT('[4]請求書 (確定)行'!$R$9:$V$9)</definedName>
    <definedName name="徽章4">INDIRECT('[4]請求書 (確定)行'!$R$9:$V$9)</definedName>
    <definedName name="契約行画像①">INDIRECT('[2]契約書(遺言など単独)★財産調査なし'!$AZ$2)</definedName>
    <definedName name="契約行画像②">INDIRECT('[2]契約書(遺言など単独)★財産調査なし'!$AZ$3)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8" i="3" l="1"/>
  <c r="E27" i="3"/>
  <c r="E24" i="3"/>
  <c r="E26" i="3" s="1"/>
  <c r="J23" i="3"/>
  <c r="F23" i="3"/>
  <c r="J22" i="3"/>
  <c r="F22" i="3"/>
  <c r="J21" i="3"/>
  <c r="F21" i="3"/>
  <c r="E25" i="2"/>
  <c r="E30" i="2" s="1"/>
  <c r="J24" i="2"/>
  <c r="F24" i="2"/>
  <c r="J23" i="2"/>
  <c r="F23" i="2"/>
  <c r="E29" i="2" s="1"/>
  <c r="E28" i="2" l="1"/>
</calcChain>
</file>

<file path=xl/sharedStrings.xml><?xml version="1.0" encoding="utf-8"?>
<sst xmlns="http://schemas.openxmlformats.org/spreadsheetml/2006/main" count="72" uniqueCount="43">
  <si>
    <t>発行日：</t>
    <rPh sb="0" eb="3">
      <t>ハッコウビ</t>
    </rPh>
    <phoneticPr fontId="5"/>
  </si>
  <si>
    <t>ランドマーク税理士法人 御中</t>
    <rPh sb="12" eb="14">
      <t>オンチュウ</t>
    </rPh>
    <phoneticPr fontId="5"/>
  </si>
  <si>
    <t>登録番号：T4-0200-0109-4250</t>
    <rPh sb="0" eb="2">
      <t>トウロク</t>
    </rPh>
    <rPh sb="2" eb="4">
      <t>バンゴウ</t>
    </rPh>
    <phoneticPr fontId="5"/>
  </si>
  <si>
    <t>適格請求書</t>
    <rPh sb="0" eb="2">
      <t>テキカク</t>
    </rPh>
    <rPh sb="2" eb="5">
      <t>セイキュウショ</t>
    </rPh>
    <phoneticPr fontId="5"/>
  </si>
  <si>
    <r>
      <t xml:space="preserve">★ランドマーク　報酬額
</t>
    </r>
    <r>
      <rPr>
        <sz val="11"/>
        <color theme="1"/>
        <rFont val="游ゴシック"/>
        <family val="2"/>
        <charset val="128"/>
        <scheme val="minor"/>
      </rPr>
      <t>顧客請求額の30%</t>
    </r>
    <rPh sb="8" eb="11">
      <t>ホウシュウガク</t>
    </rPh>
    <rPh sb="13" eb="15">
      <t>コキャク</t>
    </rPh>
    <rPh sb="15" eb="17">
      <t>セイキュウ</t>
    </rPh>
    <rPh sb="17" eb="18">
      <t>ガク</t>
    </rPh>
    <phoneticPr fontId="5"/>
  </si>
  <si>
    <t>担  当</t>
    <rPh sb="0" eb="1">
      <t>タン</t>
    </rPh>
    <rPh sb="3" eb="4">
      <t>トウ</t>
    </rPh>
    <phoneticPr fontId="5"/>
  </si>
  <si>
    <t>後藤/本間</t>
    <rPh sb="0" eb="2">
      <t>ゴトウ</t>
    </rPh>
    <rPh sb="3" eb="5">
      <t>ホンマ</t>
    </rPh>
    <phoneticPr fontId="5"/>
  </si>
  <si>
    <t>ご 請 求 書</t>
    <rPh sb="2" eb="3">
      <t>ショウ</t>
    </rPh>
    <rPh sb="4" eb="5">
      <t>モトム</t>
    </rPh>
    <rPh sb="6" eb="7">
      <t>ショ</t>
    </rPh>
    <phoneticPr fontId="5"/>
  </si>
  <si>
    <t xml:space="preserve">株式会社オーシャン　　代表取締役　黒田 泰 </t>
    <phoneticPr fontId="5"/>
  </si>
  <si>
    <t>〒220-0011　横浜市西区高島2丁目13－2 横浜駅前共同ビル４階</t>
    <phoneticPr fontId="5"/>
  </si>
  <si>
    <t>平素は格別のご高配を賜り、厚く御礼申し上げます。</t>
    <rPh sb="0" eb="2">
      <t>ヘイソ</t>
    </rPh>
    <rPh sb="3" eb="5">
      <t>カクベツ</t>
    </rPh>
    <rPh sb="7" eb="9">
      <t>コウハイ</t>
    </rPh>
    <rPh sb="10" eb="11">
      <t>タマワ</t>
    </rPh>
    <rPh sb="13" eb="14">
      <t>アツ</t>
    </rPh>
    <rPh sb="15" eb="18">
      <t>オンレイモウ</t>
    </rPh>
    <rPh sb="19" eb="20">
      <t>ア</t>
    </rPh>
    <phoneticPr fontId="5"/>
  </si>
  <si>
    <t>電話：045-628-9555 / FAX:045-628-9574</t>
    <rPh sb="0" eb="2">
      <t>デンワ</t>
    </rPh>
    <phoneticPr fontId="5"/>
  </si>
  <si>
    <t>下記の通りご請求申し上げます。</t>
    <rPh sb="0" eb="2">
      <t>カキ</t>
    </rPh>
    <rPh sb="3" eb="4">
      <t>トオ</t>
    </rPh>
    <rPh sb="6" eb="8">
      <t>セイキュウ</t>
    </rPh>
    <rPh sb="8" eb="9">
      <t>モウ</t>
    </rPh>
    <rPh sb="10" eb="11">
      <t>ア</t>
    </rPh>
    <phoneticPr fontId="5"/>
  </si>
  <si>
    <t>税抜価格確認用</t>
    <rPh sb="0" eb="1">
      <t>ゼイ</t>
    </rPh>
    <rPh sb="1" eb="2">
      <t>ヌ</t>
    </rPh>
    <rPh sb="2" eb="4">
      <t>カカク</t>
    </rPh>
    <rPh sb="4" eb="7">
      <t>カクニンヨウ</t>
    </rPh>
    <phoneticPr fontId="5"/>
  </si>
  <si>
    <t>贈与税申告</t>
    <rPh sb="0" eb="3">
      <t>ゾウヨゼイ</t>
    </rPh>
    <rPh sb="3" eb="5">
      <t>シンコク</t>
    </rPh>
    <phoneticPr fontId="5"/>
  </si>
  <si>
    <t>ＮＯ</t>
    <phoneticPr fontId="5"/>
  </si>
  <si>
    <t>日付</t>
    <rPh sb="0" eb="2">
      <t>ヒヅケ</t>
    </rPh>
    <phoneticPr fontId="5"/>
  </si>
  <si>
    <t>名目</t>
    <rPh sb="0" eb="2">
      <t>メイモク</t>
    </rPh>
    <phoneticPr fontId="5"/>
  </si>
  <si>
    <t>詳細</t>
    <rPh sb="0" eb="2">
      <t>ショウサイ</t>
    </rPh>
    <phoneticPr fontId="5"/>
  </si>
  <si>
    <t>金額（税込）</t>
    <phoneticPr fontId="5"/>
  </si>
  <si>
    <t>内消費税（10％）</t>
    <rPh sb="0" eb="1">
      <t>ウチ</t>
    </rPh>
    <phoneticPr fontId="5"/>
  </si>
  <si>
    <t>備考</t>
    <rPh sb="0" eb="2">
      <t>ビコウ</t>
    </rPh>
    <phoneticPr fontId="5"/>
  </si>
  <si>
    <t>↓触らない</t>
    <rPh sb="1" eb="2">
      <t>サワ</t>
    </rPh>
    <phoneticPr fontId="5"/>
  </si>
  <si>
    <t>譲渡税申告</t>
    <rPh sb="0" eb="2">
      <t>ジョウト</t>
    </rPh>
    <rPh sb="2" eb="3">
      <t>ゼイ</t>
    </rPh>
    <rPh sb="3" eb="5">
      <t>シンコク</t>
    </rPh>
    <phoneticPr fontId="5"/>
  </si>
  <si>
    <t>ご紹介料</t>
    <rPh sb="1" eb="3">
      <t>ショウカイ</t>
    </rPh>
    <rPh sb="3" eb="4">
      <t>リョウ</t>
    </rPh>
    <phoneticPr fontId="5"/>
  </si>
  <si>
    <t>準確定申告</t>
    <rPh sb="0" eb="3">
      <t>ジュンカクテイ</t>
    </rPh>
    <rPh sb="3" eb="5">
      <t>シンコク</t>
    </rPh>
    <phoneticPr fontId="5"/>
  </si>
  <si>
    <t>相続税申告</t>
    <rPh sb="0" eb="3">
      <t>ソウゾクゼイ</t>
    </rPh>
    <rPh sb="3" eb="5">
      <t>シンコク</t>
    </rPh>
    <phoneticPr fontId="5"/>
  </si>
  <si>
    <t>相続税案件</t>
    <rPh sb="0" eb="3">
      <t>ソウゾクゼイ</t>
    </rPh>
    <rPh sb="3" eb="5">
      <t>アンケン</t>
    </rPh>
    <phoneticPr fontId="5"/>
  </si>
  <si>
    <t>小計</t>
    <rPh sb="0" eb="2">
      <t>ショウケイ</t>
    </rPh>
    <phoneticPr fontId="5"/>
  </si>
  <si>
    <t>譲渡所得税</t>
    <phoneticPr fontId="5"/>
  </si>
  <si>
    <t>10％対象額及び消費税額合計</t>
    <rPh sb="3" eb="5">
      <t>タイショウ</t>
    </rPh>
    <rPh sb="5" eb="6">
      <t>ガク</t>
    </rPh>
    <rPh sb="6" eb="7">
      <t>オヨ</t>
    </rPh>
    <rPh sb="8" eb="12">
      <t>ショウヒゼイガク</t>
    </rPh>
    <rPh sb="12" eb="14">
      <t>ゴウケイ</t>
    </rPh>
    <phoneticPr fontId="5"/>
  </si>
  <si>
    <t>内消費税計(10%)</t>
    <rPh sb="0" eb="1">
      <t>ウチ</t>
    </rPh>
    <rPh sb="1" eb="4">
      <t>ショウヒゼイ</t>
    </rPh>
    <rPh sb="4" eb="5">
      <t>ケイ</t>
    </rPh>
    <phoneticPr fontId="5"/>
  </si>
  <si>
    <t>ご請求額総計</t>
    <rPh sb="1" eb="3">
      <t>セイキュウ</t>
    </rPh>
    <rPh sb="3" eb="4">
      <t>ガク</t>
    </rPh>
    <rPh sb="4" eb="6">
      <t>ソウケイ</t>
    </rPh>
    <phoneticPr fontId="5"/>
  </si>
  <si>
    <t>コンパッソ税理士法人 御中</t>
    <rPh sb="5" eb="10">
      <t>ゼイリシホウジン</t>
    </rPh>
    <rPh sb="11" eb="13">
      <t>オンチュウ</t>
    </rPh>
    <phoneticPr fontId="5"/>
  </si>
  <si>
    <t>佐藤/本間</t>
    <rPh sb="0" eb="2">
      <t>サトウ</t>
    </rPh>
    <rPh sb="3" eb="5">
      <t>ホンマ</t>
    </rPh>
    <phoneticPr fontId="5"/>
  </si>
  <si>
    <t>御請求書</t>
    <rPh sb="0" eb="4">
      <t>ゴセイキュウショ</t>
    </rPh>
    <phoneticPr fontId="5"/>
  </si>
  <si>
    <t>2026/5/27　山田先生より　契約書は結びたくない旨、先方よりご連絡　
当時蔭山さんとのやりとりで、20％との話だったので、本来30％くらいにしたいが、20％で結ぶとのこと</t>
    <rPh sb="10" eb="12">
      <t>ヤマダ</t>
    </rPh>
    <rPh sb="12" eb="14">
      <t>センセイ</t>
    </rPh>
    <rPh sb="17" eb="20">
      <t>ケイヤクショ</t>
    </rPh>
    <rPh sb="21" eb="22">
      <t>ムス</t>
    </rPh>
    <rPh sb="27" eb="28">
      <t>ムネ</t>
    </rPh>
    <rPh sb="29" eb="31">
      <t>センポウ</t>
    </rPh>
    <rPh sb="34" eb="36">
      <t>レンラク</t>
    </rPh>
    <rPh sb="38" eb="40">
      <t>トウジ</t>
    </rPh>
    <rPh sb="40" eb="42">
      <t>カゲヤマ</t>
    </rPh>
    <rPh sb="57" eb="58">
      <t>ハナシ</t>
    </rPh>
    <rPh sb="64" eb="66">
      <t>ホンライ</t>
    </rPh>
    <rPh sb="82" eb="83">
      <t>ムス</t>
    </rPh>
    <phoneticPr fontId="5"/>
  </si>
  <si>
    <t>4月分</t>
    <rPh sb="1" eb="2">
      <t>ガツ</t>
    </rPh>
    <rPh sb="2" eb="3">
      <t>ブン</t>
    </rPh>
    <phoneticPr fontId="5"/>
  </si>
  <si>
    <t>ご紹介料</t>
    <phoneticPr fontId="5"/>
  </si>
  <si>
    <t>相続税申告</t>
    <phoneticPr fontId="5"/>
  </si>
  <si>
    <t>（〇〇様）</t>
    <rPh sb="3" eb="4">
      <t>サマ</t>
    </rPh>
    <phoneticPr fontId="5"/>
  </si>
  <si>
    <t>（〇〇様）</t>
    <phoneticPr fontId="5"/>
  </si>
  <si>
    <t>（〇〇様）様
（故〇〇様）</t>
    <rPh sb="5" eb="6">
      <t>サマ</t>
    </rPh>
    <rPh sb="8" eb="9">
      <t>コ</t>
    </rPh>
    <rPh sb="11" eb="12">
      <t>サマ</t>
    </rPh>
    <rPh sb="12" eb="13">
      <t>サンヨウ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</si>
</sst>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¥&quot;#,##0;[Red]&quot;¥&quot;\-#,##0"/>
    <numFmt numFmtId="42" formatCode="_ &quot;¥&quot;* #,##0_ ;_ &quot;¥&quot;* \-#,##0_ ;_ &quot;¥&quot;* &quot;-&quot;_ ;_ @_ "/>
    <numFmt numFmtId="41" formatCode="_ * #,##0_ ;_ * \-#,##0_ ;_ * &quot;-&quot;_ ;_ @_ "/>
    <numFmt numFmtId="176" formatCode="[$-F800]dddd\,\ mmmm\ dd\,\ yyyy"/>
    <numFmt numFmtId="177" formatCode="0&quot;月分&quot;"/>
    <numFmt numFmtId="178" formatCode="_ * #,##0.0_ ;_ * \-#,##0.0_ ;_ * &quot;-&quot;_ ;_ @_ "/>
  </numFmts>
  <fonts count="28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0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b/>
      <sz val="12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  <font>
      <sz val="14"/>
      <name val="ＭＳ Ｐゴシック"/>
      <family val="3"/>
      <charset val="128"/>
    </font>
    <font>
      <sz val="12"/>
      <name val="ＭＳ Ｐゴシック"/>
      <family val="3"/>
      <charset val="128"/>
    </font>
    <font>
      <sz val="10"/>
      <color indexed="9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28"/>
      <name val="ＭＳ Ｐゴシック"/>
      <family val="3"/>
      <charset val="128"/>
    </font>
    <font>
      <sz val="26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</font>
    <font>
      <sz val="8"/>
      <name val="ＭＳ Ｐ明朝"/>
      <family val="1"/>
      <charset val="128"/>
    </font>
    <font>
      <b/>
      <sz val="11"/>
      <color indexed="9"/>
      <name val="ＭＳ Ｐゴシック"/>
      <family val="3"/>
      <charset val="128"/>
    </font>
    <font>
      <b/>
      <sz val="11"/>
      <color theme="0"/>
      <name val="ＭＳ Ｐゴシック"/>
      <family val="3"/>
      <charset val="128"/>
    </font>
    <font>
      <b/>
      <sz val="14"/>
      <name val="ＭＳ Ｐゴシック"/>
      <family val="3"/>
      <charset val="128"/>
    </font>
    <font>
      <b/>
      <sz val="12"/>
      <color theme="0"/>
      <name val="ＭＳ Ｐゴシック"/>
      <family val="3"/>
      <charset val="128"/>
    </font>
    <font>
      <b/>
      <sz val="20"/>
      <name val="ＭＳ Ｐゴシック"/>
      <family val="3"/>
      <charset val="128"/>
    </font>
    <font>
      <b/>
      <sz val="10"/>
      <color indexed="9"/>
      <name val="ＭＳ Ｐゴシック"/>
      <family val="3"/>
      <charset val="128"/>
    </font>
    <font>
      <b/>
      <sz val="14"/>
      <color theme="0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1"/>
        <bgColor indexed="64"/>
      </patternFill>
    </fill>
    <fill>
      <patternFill patternType="solid">
        <fgColor theme="0" tint="-0.34998626667073579"/>
        <bgColor indexed="64"/>
      </patternFill>
    </fill>
  </fills>
  <borders count="5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theme="3" tint="0.39994506668294322"/>
      </left>
      <right style="medium">
        <color theme="3" tint="0.39994506668294322"/>
      </right>
      <top style="medium">
        <color theme="3" tint="0.39994506668294322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theme="3" tint="0.39994506668294322"/>
      </left>
      <right style="medium">
        <color theme="3" tint="0.39994506668294322"/>
      </right>
      <top style="thin">
        <color auto="1"/>
      </top>
      <bottom style="thin">
        <color auto="1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>
      <alignment vertical="center"/>
    </xf>
    <xf numFmtId="0" fontId="2" fillId="0" borderId="0"/>
    <xf numFmtId="0" fontId="2" fillId="0" borderId="0"/>
    <xf numFmtId="38" fontId="2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</cellStyleXfs>
  <cellXfs count="139">
    <xf numFmtId="0" fontId="0" fillId="0" borderId="0" xfId="0">
      <alignment vertical="center"/>
    </xf>
    <xf numFmtId="0" fontId="2" fillId="2" borderId="0" xfId="1" applyFill="1"/>
    <xf numFmtId="0" fontId="4" fillId="2" borderId="0" xfId="1" applyFont="1" applyFill="1" applyAlignment="1">
      <alignment horizontal="right"/>
    </xf>
    <xf numFmtId="176" fontId="6" fillId="2" borderId="0" xfId="1" applyNumberFormat="1" applyFont="1" applyFill="1" applyAlignment="1">
      <alignment horizontal="left"/>
    </xf>
    <xf numFmtId="0" fontId="2" fillId="0" borderId="0" xfId="1"/>
    <xf numFmtId="0" fontId="7" fillId="0" borderId="0" xfId="1" applyFont="1"/>
    <xf numFmtId="0" fontId="8" fillId="2" borderId="0" xfId="1" applyFont="1" applyFill="1" applyAlignment="1">
      <alignment horizontal="left"/>
    </xf>
    <xf numFmtId="0" fontId="9" fillId="2" borderId="0" xfId="1" applyFont="1" applyFill="1"/>
    <xf numFmtId="0" fontId="10" fillId="0" borderId="0" xfId="1" applyFont="1" applyAlignment="1">
      <alignment horizontal="right"/>
    </xf>
    <xf numFmtId="0" fontId="11" fillId="2" borderId="0" xfId="1" applyFont="1" applyFill="1" applyAlignment="1">
      <alignment horizontal="left" vertical="center"/>
    </xf>
    <xf numFmtId="0" fontId="11" fillId="2" borderId="0" xfId="1" applyFont="1" applyFill="1" applyAlignment="1">
      <alignment horizontal="right" vertical="top"/>
    </xf>
    <xf numFmtId="0" fontId="12" fillId="0" borderId="1" xfId="2" applyFont="1" applyBorder="1" applyAlignment="1">
      <alignment horizontal="center" vertical="center" wrapText="1"/>
    </xf>
    <xf numFmtId="0" fontId="12" fillId="0" borderId="2" xfId="2" applyFont="1" applyBorder="1" applyAlignment="1">
      <alignment horizontal="center" vertical="center" wrapText="1"/>
    </xf>
    <xf numFmtId="0" fontId="12" fillId="0" borderId="3" xfId="2" applyFont="1" applyBorder="1" applyAlignment="1">
      <alignment horizontal="center" vertical="center" wrapText="1"/>
    </xf>
    <xf numFmtId="0" fontId="13" fillId="2" borderId="0" xfId="1" applyFont="1" applyFill="1" applyAlignment="1">
      <alignment horizontal="left"/>
    </xf>
    <xf numFmtId="0" fontId="4" fillId="2" borderId="0" xfId="1" applyFont="1" applyFill="1"/>
    <xf numFmtId="0" fontId="14" fillId="3" borderId="4" xfId="1" applyFont="1" applyFill="1" applyBorder="1" applyAlignment="1">
      <alignment horizontal="center" vertical="center"/>
    </xf>
    <xf numFmtId="0" fontId="12" fillId="0" borderId="5" xfId="2" applyFont="1" applyBorder="1" applyAlignment="1">
      <alignment horizontal="center" vertical="center" wrapText="1"/>
    </xf>
    <xf numFmtId="0" fontId="12" fillId="0" borderId="0" xfId="2" applyFont="1" applyAlignment="1">
      <alignment horizontal="center" vertical="center" wrapText="1"/>
    </xf>
    <xf numFmtId="0" fontId="12" fillId="0" borderId="6" xfId="2" applyFont="1" applyBorder="1" applyAlignment="1">
      <alignment horizontal="center" vertical="center" wrapText="1"/>
    </xf>
    <xf numFmtId="0" fontId="13" fillId="2" borderId="0" xfId="1" applyFont="1" applyFill="1" applyAlignment="1">
      <alignment wrapText="1"/>
    </xf>
    <xf numFmtId="0" fontId="4" fillId="0" borderId="7" xfId="1" applyFont="1" applyBorder="1" applyAlignment="1">
      <alignment horizontal="center" vertical="center"/>
    </xf>
    <xf numFmtId="0" fontId="15" fillId="2" borderId="0" xfId="1" applyFont="1" applyFill="1" applyAlignment="1">
      <alignment vertical="center"/>
    </xf>
    <xf numFmtId="0" fontId="16" fillId="2" borderId="0" xfId="1" applyFont="1" applyFill="1" applyAlignment="1">
      <alignment horizontal="center" vertical="center"/>
    </xf>
    <xf numFmtId="0" fontId="17" fillId="2" borderId="0" xfId="1" applyFont="1" applyFill="1" applyAlignment="1">
      <alignment vertical="center"/>
    </xf>
    <xf numFmtId="0" fontId="17" fillId="2" borderId="0" xfId="1" applyFont="1" applyFill="1" applyAlignment="1">
      <alignment horizontal="center" vertical="center"/>
    </xf>
    <xf numFmtId="0" fontId="2" fillId="2" borderId="0" xfId="1" applyFill="1" applyAlignment="1">
      <alignment horizontal="right" vertical="center"/>
    </xf>
    <xf numFmtId="0" fontId="6" fillId="2" borderId="0" xfId="1" applyFont="1" applyFill="1" applyAlignment="1">
      <alignment horizontal="right" vertical="center"/>
    </xf>
    <xf numFmtId="0" fontId="14" fillId="0" borderId="0" xfId="1" applyFont="1" applyAlignment="1">
      <alignment horizontal="center" vertical="center"/>
    </xf>
    <xf numFmtId="0" fontId="14" fillId="0" borderId="0" xfId="1" applyFont="1" applyAlignment="1">
      <alignment vertical="center"/>
    </xf>
    <xf numFmtId="0" fontId="2" fillId="2" borderId="0" xfId="1" applyFill="1" applyAlignment="1">
      <alignment vertical="top"/>
    </xf>
    <xf numFmtId="0" fontId="4" fillId="0" borderId="0" xfId="1" applyFont="1" applyAlignment="1">
      <alignment horizontal="right"/>
    </xf>
    <xf numFmtId="56" fontId="4" fillId="0" borderId="0" xfId="1" applyNumberFormat="1" applyFont="1" applyAlignment="1">
      <alignment horizontal="center" vertical="center"/>
    </xf>
    <xf numFmtId="0" fontId="12" fillId="0" borderId="8" xfId="2" applyFont="1" applyBorder="1" applyAlignment="1">
      <alignment horizontal="center" vertical="center" wrapText="1"/>
    </xf>
    <xf numFmtId="0" fontId="12" fillId="0" borderId="9" xfId="2" applyFont="1" applyBorder="1" applyAlignment="1">
      <alignment horizontal="center" vertical="center" wrapText="1"/>
    </xf>
    <xf numFmtId="0" fontId="12" fillId="0" borderId="10" xfId="2" applyFont="1" applyBorder="1" applyAlignment="1">
      <alignment horizontal="center" vertical="center" wrapText="1"/>
    </xf>
    <xf numFmtId="42" fontId="4" fillId="0" borderId="0" xfId="3" applyNumberFormat="1" applyFont="1" applyFill="1" applyBorder="1" applyAlignment="1">
      <alignment horizontal="center" vertical="center"/>
    </xf>
    <xf numFmtId="42" fontId="13" fillId="0" borderId="0" xfId="3" applyNumberFormat="1" applyFont="1" applyFill="1" applyBorder="1" applyAlignment="1">
      <alignment vertical="center"/>
    </xf>
    <xf numFmtId="0" fontId="4" fillId="0" borderId="0" xfId="1" applyFont="1" applyAlignment="1">
      <alignment vertical="center"/>
    </xf>
    <xf numFmtId="0" fontId="6" fillId="2" borderId="0" xfId="1" applyFont="1" applyFill="1"/>
    <xf numFmtId="0" fontId="2" fillId="0" borderId="0" xfId="1" applyAlignment="1">
      <alignment horizontal="center" vertical="center"/>
    </xf>
    <xf numFmtId="0" fontId="6" fillId="0" borderId="0" xfId="1" applyFont="1" applyAlignment="1">
      <alignment vertical="center"/>
    </xf>
    <xf numFmtId="42" fontId="4" fillId="0" borderId="0" xfId="3" applyNumberFormat="1" applyFont="1" applyFill="1" applyBorder="1" applyAlignment="1">
      <alignment vertical="center"/>
    </xf>
    <xf numFmtId="0" fontId="18" fillId="2" borderId="0" xfId="1" applyFont="1" applyFill="1" applyAlignment="1">
      <alignment horizontal="left" wrapText="1"/>
    </xf>
    <xf numFmtId="0" fontId="4" fillId="2" borderId="0" xfId="1" applyFont="1" applyFill="1" applyAlignment="1">
      <alignment vertical="center"/>
    </xf>
    <xf numFmtId="0" fontId="4" fillId="2" borderId="9" xfId="1" applyFont="1" applyFill="1" applyBorder="1"/>
    <xf numFmtId="0" fontId="19" fillId="4" borderId="0" xfId="1" applyFont="1" applyFill="1" applyAlignment="1">
      <alignment horizontal="center" vertical="center"/>
    </xf>
    <xf numFmtId="0" fontId="2" fillId="0" borderId="0" xfId="1" applyAlignment="1">
      <alignment vertical="center"/>
    </xf>
    <xf numFmtId="0" fontId="20" fillId="0" borderId="0" xfId="1" applyFont="1" applyAlignment="1">
      <alignment vertical="center" wrapText="1"/>
    </xf>
    <xf numFmtId="0" fontId="21" fillId="3" borderId="11" xfId="1" applyFont="1" applyFill="1" applyBorder="1" applyAlignment="1">
      <alignment horizontal="center" vertical="center"/>
    </xf>
    <xf numFmtId="0" fontId="21" fillId="3" borderId="12" xfId="1" applyFont="1" applyFill="1" applyBorder="1" applyAlignment="1">
      <alignment horizontal="center" vertical="center"/>
    </xf>
    <xf numFmtId="0" fontId="21" fillId="3" borderId="13" xfId="1" applyFont="1" applyFill="1" applyBorder="1" applyAlignment="1">
      <alignment horizontal="center" vertical="center"/>
    </xf>
    <xf numFmtId="0" fontId="21" fillId="3" borderId="14" xfId="1" applyFont="1" applyFill="1" applyBorder="1" applyAlignment="1">
      <alignment horizontal="center" vertical="center"/>
    </xf>
    <xf numFmtId="0" fontId="21" fillId="3" borderId="15" xfId="1" applyFont="1" applyFill="1" applyBorder="1" applyAlignment="1">
      <alignment horizontal="center" vertical="center" wrapText="1"/>
    </xf>
    <xf numFmtId="0" fontId="21" fillId="3" borderId="12" xfId="1" applyFont="1" applyFill="1" applyBorder="1" applyAlignment="1">
      <alignment horizontal="center" vertical="center"/>
    </xf>
    <xf numFmtId="0" fontId="21" fillId="3" borderId="16" xfId="1" applyFont="1" applyFill="1" applyBorder="1" applyAlignment="1">
      <alignment horizontal="center" vertical="center"/>
    </xf>
    <xf numFmtId="0" fontId="19" fillId="5" borderId="0" xfId="1" applyFont="1" applyFill="1" applyAlignment="1">
      <alignment horizontal="center" vertical="center"/>
    </xf>
    <xf numFmtId="0" fontId="13" fillId="2" borderId="11" xfId="1" applyFont="1" applyFill="1" applyBorder="1" applyAlignment="1">
      <alignment horizontal="center" vertical="center"/>
    </xf>
    <xf numFmtId="177" fontId="13" fillId="2" borderId="12" xfId="1" applyNumberFormat="1" applyFont="1" applyFill="1" applyBorder="1" applyAlignment="1">
      <alignment horizontal="center" vertical="center"/>
    </xf>
    <xf numFmtId="0" fontId="13" fillId="2" borderId="13" xfId="1" applyFont="1" applyFill="1" applyBorder="1" applyAlignment="1">
      <alignment horizontal="center" vertical="center"/>
    </xf>
    <xf numFmtId="0" fontId="13" fillId="2" borderId="13" xfId="1" applyFont="1" applyFill="1" applyBorder="1" applyAlignment="1">
      <alignment horizontal="center" vertical="center" wrapText="1"/>
    </xf>
    <xf numFmtId="41" fontId="13" fillId="2" borderId="17" xfId="1" applyNumberFormat="1" applyFont="1" applyFill="1" applyBorder="1" applyAlignment="1">
      <alignment vertical="center"/>
    </xf>
    <xf numFmtId="41" fontId="13" fillId="2" borderId="15" xfId="1" applyNumberFormat="1" applyFont="1" applyFill="1" applyBorder="1" applyAlignment="1">
      <alignment vertical="center"/>
    </xf>
    <xf numFmtId="41" fontId="13" fillId="2" borderId="12" xfId="1" applyNumberFormat="1" applyFont="1" applyFill="1" applyBorder="1" applyAlignment="1">
      <alignment horizontal="center" vertical="center" wrapText="1"/>
    </xf>
    <xf numFmtId="41" fontId="13" fillId="2" borderId="16" xfId="1" applyNumberFormat="1" applyFont="1" applyFill="1" applyBorder="1" applyAlignment="1">
      <alignment horizontal="center" vertical="center"/>
    </xf>
    <xf numFmtId="178" fontId="2" fillId="6" borderId="18" xfId="1" applyNumberFormat="1" applyFill="1" applyBorder="1" applyAlignment="1">
      <alignment vertical="center"/>
    </xf>
    <xf numFmtId="0" fontId="2" fillId="2" borderId="19" xfId="1" applyFill="1" applyBorder="1" applyAlignment="1">
      <alignment horizontal="center" vertical="center"/>
    </xf>
    <xf numFmtId="177" fontId="4" fillId="2" borderId="9" xfId="1" applyNumberFormat="1" applyFont="1" applyFill="1" applyBorder="1" applyAlignment="1">
      <alignment horizontal="center" vertical="center"/>
    </xf>
    <xf numFmtId="0" fontId="4" fillId="2" borderId="20" xfId="1" applyFont="1" applyFill="1" applyBorder="1" applyAlignment="1">
      <alignment horizontal="center" vertical="center"/>
    </xf>
    <xf numFmtId="177" fontId="4" fillId="2" borderId="21" xfId="1" applyNumberFormat="1" applyFont="1" applyFill="1" applyBorder="1" applyAlignment="1">
      <alignment horizontal="center" vertical="center" wrapText="1"/>
    </xf>
    <xf numFmtId="41" fontId="2" fillId="0" borderId="22" xfId="1" applyNumberFormat="1" applyBorder="1" applyAlignment="1">
      <alignment vertical="center"/>
    </xf>
    <xf numFmtId="41" fontId="2" fillId="0" borderId="23" xfId="1" applyNumberFormat="1" applyBorder="1" applyAlignment="1">
      <alignment vertical="center"/>
    </xf>
    <xf numFmtId="41" fontId="2" fillId="2" borderId="9" xfId="1" applyNumberFormat="1" applyFill="1" applyBorder="1" applyAlignment="1">
      <alignment horizontal="center" vertical="center"/>
    </xf>
    <xf numFmtId="41" fontId="2" fillId="2" borderId="10" xfId="1" applyNumberFormat="1" applyFill="1" applyBorder="1" applyAlignment="1">
      <alignment horizontal="center" vertical="center"/>
    </xf>
    <xf numFmtId="178" fontId="2" fillId="6" borderId="24" xfId="1" applyNumberFormat="1" applyFill="1" applyBorder="1" applyAlignment="1">
      <alignment vertical="center"/>
    </xf>
    <xf numFmtId="0" fontId="22" fillId="3" borderId="25" xfId="1" applyFont="1" applyFill="1" applyBorder="1" applyAlignment="1">
      <alignment horizontal="center" vertical="center"/>
    </xf>
    <xf numFmtId="41" fontId="8" fillId="0" borderId="26" xfId="1" applyNumberFormat="1" applyFont="1" applyBorder="1" applyAlignment="1">
      <alignment vertical="center"/>
    </xf>
    <xf numFmtId="42" fontId="23" fillId="2" borderId="0" xfId="1" applyNumberFormat="1" applyFont="1" applyFill="1" applyAlignment="1">
      <alignment vertical="center"/>
    </xf>
    <xf numFmtId="0" fontId="0" fillId="0" borderId="0" xfId="1" applyFont="1"/>
    <xf numFmtId="0" fontId="0" fillId="0" borderId="27" xfId="1" applyFont="1" applyBorder="1" applyAlignment="1">
      <alignment horizontal="center" vertical="center"/>
    </xf>
    <xf numFmtId="0" fontId="2" fillId="0" borderId="28" xfId="1" applyBorder="1" applyAlignment="1">
      <alignment horizontal="center" vertical="center"/>
    </xf>
    <xf numFmtId="41" fontId="13" fillId="0" borderId="27" xfId="1" applyNumberFormat="1" applyFont="1" applyBorder="1" applyAlignment="1">
      <alignment horizontal="center" vertical="center"/>
    </xf>
    <xf numFmtId="41" fontId="13" fillId="0" borderId="29" xfId="1" applyNumberFormat="1" applyFont="1" applyBorder="1" applyAlignment="1">
      <alignment horizontal="center" vertical="center"/>
    </xf>
    <xf numFmtId="0" fontId="13" fillId="0" borderId="30" xfId="1" applyFont="1" applyBorder="1" applyAlignment="1">
      <alignment horizontal="center" vertical="center"/>
    </xf>
    <xf numFmtId="0" fontId="13" fillId="0" borderId="31" xfId="1" applyFont="1" applyBorder="1" applyAlignment="1">
      <alignment horizontal="center" vertical="center"/>
    </xf>
    <xf numFmtId="41" fontId="13" fillId="0" borderId="32" xfId="1" applyNumberFormat="1" applyFont="1" applyBorder="1" applyAlignment="1">
      <alignment horizontal="center" vertical="center"/>
    </xf>
    <xf numFmtId="41" fontId="13" fillId="0" borderId="33" xfId="1" applyNumberFormat="1" applyFont="1" applyBorder="1" applyAlignment="1">
      <alignment horizontal="center" vertical="center"/>
    </xf>
    <xf numFmtId="0" fontId="24" fillId="3" borderId="34" xfId="1" applyFont="1" applyFill="1" applyBorder="1" applyAlignment="1">
      <alignment horizontal="center" vertical="center"/>
    </xf>
    <xf numFmtId="0" fontId="24" fillId="3" borderId="35" xfId="1" applyFont="1" applyFill="1" applyBorder="1" applyAlignment="1">
      <alignment horizontal="center" vertical="center"/>
    </xf>
    <xf numFmtId="41" fontId="25" fillId="0" borderId="34" xfId="1" applyNumberFormat="1" applyFont="1" applyBorder="1" applyAlignment="1">
      <alignment horizontal="center" vertical="center"/>
    </xf>
    <xf numFmtId="41" fontId="25" fillId="0" borderId="36" xfId="1" applyNumberFormat="1" applyFont="1" applyBorder="1" applyAlignment="1">
      <alignment horizontal="center" vertical="center"/>
    </xf>
    <xf numFmtId="0" fontId="1" fillId="0" borderId="0" xfId="4" applyAlignment="1"/>
    <xf numFmtId="0" fontId="20" fillId="2" borderId="0" xfId="1" applyFont="1" applyFill="1" applyAlignment="1">
      <alignment vertical="center" wrapText="1"/>
    </xf>
    <xf numFmtId="0" fontId="9" fillId="2" borderId="0" xfId="1" applyFont="1" applyFill="1" applyAlignment="1">
      <alignment horizontal="left"/>
    </xf>
    <xf numFmtId="0" fontId="12" fillId="0" borderId="0" xfId="2" applyFont="1" applyAlignment="1">
      <alignment vertical="top"/>
    </xf>
    <xf numFmtId="0" fontId="17" fillId="2" borderId="0" xfId="1" applyFont="1" applyFill="1" applyAlignment="1">
      <alignment horizontal="center" vertical="center"/>
    </xf>
    <xf numFmtId="0" fontId="4" fillId="2" borderId="0" xfId="1" applyFont="1" applyFill="1" applyAlignment="1">
      <alignment vertical="top"/>
    </xf>
    <xf numFmtId="0" fontId="4" fillId="4" borderId="0" xfId="1" applyFont="1" applyFill="1" applyAlignment="1">
      <alignment horizontal="center" vertical="center" wrapText="1"/>
    </xf>
    <xf numFmtId="0" fontId="26" fillId="3" borderId="11" xfId="1" applyFont="1" applyFill="1" applyBorder="1" applyAlignment="1">
      <alignment horizontal="center" vertical="center"/>
    </xf>
    <xf numFmtId="0" fontId="26" fillId="3" borderId="12" xfId="1" applyFont="1" applyFill="1" applyBorder="1" applyAlignment="1">
      <alignment horizontal="center" vertical="center"/>
    </xf>
    <xf numFmtId="0" fontId="26" fillId="3" borderId="13" xfId="1" applyFont="1" applyFill="1" applyBorder="1" applyAlignment="1">
      <alignment horizontal="center" vertical="center"/>
    </xf>
    <xf numFmtId="0" fontId="26" fillId="3" borderId="14" xfId="1" applyFont="1" applyFill="1" applyBorder="1" applyAlignment="1">
      <alignment horizontal="center" vertical="center"/>
    </xf>
    <xf numFmtId="0" fontId="26" fillId="3" borderId="15" xfId="1" applyFont="1" applyFill="1" applyBorder="1" applyAlignment="1">
      <alignment horizontal="center" vertical="center" wrapText="1"/>
    </xf>
    <xf numFmtId="0" fontId="26" fillId="3" borderId="12" xfId="1" applyFont="1" applyFill="1" applyBorder="1" applyAlignment="1">
      <alignment horizontal="center" vertical="center"/>
    </xf>
    <xf numFmtId="0" fontId="26" fillId="3" borderId="16" xfId="1" applyFont="1" applyFill="1" applyBorder="1" applyAlignment="1">
      <alignment horizontal="center" vertical="center"/>
    </xf>
    <xf numFmtId="0" fontId="2" fillId="2" borderId="37" xfId="1" applyFill="1" applyBorder="1" applyAlignment="1">
      <alignment horizontal="center" vertical="center"/>
    </xf>
    <xf numFmtId="177" fontId="4" fillId="2" borderId="38" xfId="1" applyNumberFormat="1" applyFont="1" applyFill="1" applyBorder="1" applyAlignment="1">
      <alignment horizontal="center" vertical="center"/>
    </xf>
    <xf numFmtId="0" fontId="4" fillId="2" borderId="38" xfId="1" applyFont="1" applyFill="1" applyBorder="1" applyAlignment="1">
      <alignment horizontal="center" vertical="center"/>
    </xf>
    <xf numFmtId="6" fontId="2" fillId="2" borderId="39" xfId="1" applyNumberFormat="1" applyFill="1" applyBorder="1" applyAlignment="1">
      <alignment vertical="center"/>
    </xf>
    <xf numFmtId="41" fontId="2" fillId="2" borderId="40" xfId="1" applyNumberFormat="1" applyFill="1" applyBorder="1" applyAlignment="1">
      <alignment vertical="center"/>
    </xf>
    <xf numFmtId="41" fontId="4" fillId="2" borderId="41" xfId="1" applyNumberFormat="1" applyFont="1" applyFill="1" applyBorder="1" applyAlignment="1">
      <alignment horizontal="center" vertical="center" wrapText="1"/>
    </xf>
    <xf numFmtId="41" fontId="4" fillId="2" borderId="42" xfId="1" applyNumberFormat="1" applyFont="1" applyFill="1" applyBorder="1" applyAlignment="1">
      <alignment horizontal="center" vertical="center"/>
    </xf>
    <xf numFmtId="0" fontId="2" fillId="2" borderId="43" xfId="1" applyFill="1" applyBorder="1" applyAlignment="1">
      <alignment horizontal="center" vertical="center"/>
    </xf>
    <xf numFmtId="177" fontId="4" fillId="2" borderId="21" xfId="1" applyNumberFormat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/>
    </xf>
    <xf numFmtId="6" fontId="2" fillId="2" borderId="22" xfId="1" applyNumberFormat="1" applyFill="1" applyBorder="1" applyAlignment="1">
      <alignment vertical="center"/>
    </xf>
    <xf numFmtId="41" fontId="2" fillId="2" borderId="44" xfId="1" applyNumberFormat="1" applyFill="1" applyBorder="1" applyAlignment="1">
      <alignment vertical="center"/>
    </xf>
    <xf numFmtId="41" fontId="4" fillId="2" borderId="45" xfId="1" applyNumberFormat="1" applyFont="1" applyFill="1" applyBorder="1" applyAlignment="1">
      <alignment horizontal="center" vertical="center" wrapText="1"/>
    </xf>
    <xf numFmtId="41" fontId="4" fillId="2" borderId="46" xfId="1" applyNumberFormat="1" applyFont="1" applyFill="1" applyBorder="1" applyAlignment="1">
      <alignment horizontal="center" vertical="center"/>
    </xf>
    <xf numFmtId="0" fontId="2" fillId="2" borderId="47" xfId="1" applyFill="1" applyBorder="1" applyAlignment="1">
      <alignment horizontal="center" vertical="center"/>
    </xf>
    <xf numFmtId="177" fontId="4" fillId="2" borderId="27" xfId="1" applyNumberFormat="1" applyFont="1" applyFill="1" applyBorder="1" applyAlignment="1">
      <alignment horizontal="center" vertical="center"/>
    </xf>
    <xf numFmtId="0" fontId="4" fillId="2" borderId="27" xfId="1" applyFont="1" applyFill="1" applyBorder="1" applyAlignment="1">
      <alignment horizontal="center" vertical="center"/>
    </xf>
    <xf numFmtId="6" fontId="2" fillId="2" borderId="48" xfId="1" applyNumberFormat="1" applyFill="1" applyBorder="1" applyAlignment="1">
      <alignment vertical="center"/>
    </xf>
    <xf numFmtId="41" fontId="2" fillId="2" borderId="49" xfId="1" applyNumberFormat="1" applyFill="1" applyBorder="1" applyAlignment="1">
      <alignment vertical="center"/>
    </xf>
    <xf numFmtId="41" fontId="4" fillId="2" borderId="28" xfId="1" applyNumberFormat="1" applyFont="1" applyFill="1" applyBorder="1" applyAlignment="1">
      <alignment horizontal="center" vertical="center" wrapText="1"/>
    </xf>
    <xf numFmtId="41" fontId="4" fillId="2" borderId="50" xfId="1" applyNumberFormat="1" applyFont="1" applyFill="1" applyBorder="1" applyAlignment="1">
      <alignment horizontal="center" vertical="center"/>
    </xf>
    <xf numFmtId="6" fontId="23" fillId="0" borderId="26" xfId="1" applyNumberFormat="1" applyFont="1" applyBorder="1" applyAlignment="1">
      <alignment vertical="center"/>
    </xf>
    <xf numFmtId="41" fontId="2" fillId="0" borderId="27" xfId="1" applyNumberFormat="1" applyBorder="1" applyAlignment="1">
      <alignment horizontal="center" vertical="center"/>
    </xf>
    <xf numFmtId="41" fontId="2" fillId="0" borderId="29" xfId="1" applyNumberFormat="1" applyBorder="1" applyAlignment="1">
      <alignment horizontal="center" vertical="center"/>
    </xf>
    <xf numFmtId="0" fontId="2" fillId="0" borderId="0" xfId="1" applyAlignment="1">
      <alignment vertical="top"/>
    </xf>
    <xf numFmtId="0" fontId="0" fillId="0" borderId="30" xfId="1" applyFont="1" applyBorder="1" applyAlignment="1">
      <alignment horizontal="center" vertical="center"/>
    </xf>
    <xf numFmtId="0" fontId="0" fillId="0" borderId="31" xfId="1" applyFont="1" applyBorder="1" applyAlignment="1">
      <alignment horizontal="center" vertical="center"/>
    </xf>
    <xf numFmtId="41" fontId="2" fillId="0" borderId="32" xfId="1" applyNumberFormat="1" applyBorder="1" applyAlignment="1">
      <alignment horizontal="center" vertical="center"/>
    </xf>
    <xf numFmtId="41" fontId="2" fillId="0" borderId="33" xfId="1" applyNumberFormat="1" applyBorder="1" applyAlignment="1">
      <alignment horizontal="center" vertical="center"/>
    </xf>
    <xf numFmtId="0" fontId="27" fillId="3" borderId="34" xfId="1" applyFont="1" applyFill="1" applyBorder="1" applyAlignment="1">
      <alignment horizontal="center" vertical="center"/>
    </xf>
    <xf numFmtId="0" fontId="27" fillId="3" borderId="35" xfId="1" applyFont="1" applyFill="1" applyBorder="1" applyAlignment="1">
      <alignment horizontal="center" vertical="center"/>
    </xf>
    <xf numFmtId="41" fontId="23" fillId="0" borderId="34" xfId="1" applyNumberFormat="1" applyFont="1" applyBorder="1" applyAlignment="1">
      <alignment horizontal="center" vertical="center"/>
    </xf>
    <xf numFmtId="41" fontId="23" fillId="0" borderId="36" xfId="1" applyNumberFormat="1" applyFont="1" applyBorder="1" applyAlignment="1">
      <alignment horizontal="center" vertical="center"/>
    </xf>
    <xf numFmtId="0" fontId="1" fillId="0" borderId="0" xfId="5" applyAlignment="1"/>
  </cellXfs>
  <cellStyles count="6">
    <cellStyle name="桁区切り 2 5" xfId="3" xr:uid="{6AFA0036-B574-42E1-B770-0440FA052C0A}"/>
    <cellStyle name="標準" xfId="0" builtinId="0"/>
    <cellStyle name="標準 21 2" xfId="5" xr:uid="{C9E3C3E3-91AD-4D11-A5BC-BFB53F4AD283}"/>
    <cellStyle name="標準 21 6" xfId="4" xr:uid="{5677B37A-F710-4E18-A8B3-531B44BD78E9}"/>
    <cellStyle name="標準 3 2" xfId="1" xr:uid="{EA8DEB8A-E514-485E-8181-C5BC5CE647AD}"/>
    <cellStyle name="標準 5" xfId="2" xr:uid="{8203A206-BD2E-4A4F-B1CB-59B751C7F0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50966</xdr:colOff>
      <xdr:row>5</xdr:row>
      <xdr:rowOff>38100</xdr:rowOff>
    </xdr:from>
    <xdr:ext cx="920583" cy="897634"/>
    <xdr:pic>
      <xdr:nvPicPr>
        <xdr:cNvPr id="2" name="図 1">
          <a:extLst>
            <a:ext uri="{FF2B5EF4-FFF2-40B4-BE49-F238E27FC236}">
              <a16:creationId xmlns:a16="http://schemas.microsoft.com/office/drawing/2014/main" id="{D19C4848-CD65-4998-B78F-0BB40BFF31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6741" y="971550"/>
          <a:ext cx="920583" cy="897634"/>
        </a:xfrm>
        <a:prstGeom prst="rect">
          <a:avLst/>
        </a:prstGeom>
      </xdr:spPr>
    </xdr:pic>
    <xdr:clientData/>
  </xdr:oneCellAnchor>
  <xdr:twoCellAnchor>
    <xdr:from>
      <xdr:col>4</xdr:col>
      <xdr:colOff>1181100</xdr:colOff>
      <xdr:row>11</xdr:row>
      <xdr:rowOff>57150</xdr:rowOff>
    </xdr:from>
    <xdr:to>
      <xdr:col>7</xdr:col>
      <xdr:colOff>984250</xdr:colOff>
      <xdr:row>18</xdr:row>
      <xdr:rowOff>171450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7FB62293-B10E-456F-857C-10EC8168B2DB}"/>
            </a:ext>
          </a:extLst>
        </xdr:cNvPr>
        <xdr:cNvSpPr txBox="1"/>
      </xdr:nvSpPr>
      <xdr:spPr>
        <a:xfrm>
          <a:off x="5734050" y="2228850"/>
          <a:ext cx="3355975" cy="13144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050" b="1">
              <a:solidFill>
                <a:schemeClr val="dk1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rPr>
            <a:t>口座名義　株式会社オーシャン</a:t>
          </a:r>
          <a:endParaRPr kumimoji="1" lang="en-US" altLang="ja-JP" sz="1050" b="1">
            <a:solidFill>
              <a:schemeClr val="dk1"/>
            </a:solidFill>
            <a:latin typeface="ＭＳ Ｐゴシック" panose="020B0600070205080204" pitchFamily="50" charset="-128"/>
            <a:ea typeface="ＭＳ Ｐゴシック" panose="020B0600070205080204" pitchFamily="50" charset="-128"/>
            <a:cs typeface="+mn-cs"/>
          </a:endParaRPr>
        </a:p>
        <a:p>
          <a:pPr algn="l"/>
          <a:r>
            <a:rPr kumimoji="1" lang="ja-JP" altLang="en-US" sz="9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　</a:t>
          </a:r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rPr>
            <a:t>・みずほ銀行   横浜東口支店</a:t>
          </a:r>
          <a:r>
            <a:rPr kumimoji="1" lang="en-US" altLang="ja-JP" sz="9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rPr>
            <a:t> </a:t>
          </a:r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rPr>
            <a:t>　</a:t>
          </a:r>
          <a:r>
            <a:rPr kumimoji="1" lang="en-US" altLang="ja-JP" sz="9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rPr>
            <a:t>(</a:t>
          </a:r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rPr>
            <a:t>普</a:t>
          </a:r>
          <a:r>
            <a:rPr kumimoji="1" lang="en-US" altLang="ja-JP" sz="9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rPr>
            <a:t>) </a:t>
          </a:r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rPr>
            <a:t>２１３５３１１</a:t>
          </a:r>
          <a:endParaRPr kumimoji="1" lang="en-US" altLang="ja-JP" sz="9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ＭＳ Ｐゴシック" panose="020B0600070205080204" pitchFamily="50" charset="-128"/>
            <a:ea typeface="ＭＳ Ｐゴシック" panose="020B0600070205080204" pitchFamily="50" charset="-128"/>
            <a:cs typeface="+mn-cs"/>
          </a:endParaRPr>
        </a:p>
        <a:p>
          <a:pPr algn="l"/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rPr>
            <a:t>　・きらぼし銀行　横浜西口支店　 </a:t>
          </a:r>
          <a:r>
            <a:rPr kumimoji="1" lang="en-US" altLang="ja-JP" sz="9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rPr>
            <a:t>(</a:t>
          </a:r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rPr>
            <a:t>普</a:t>
          </a:r>
          <a:r>
            <a:rPr kumimoji="1" lang="en-US" altLang="ja-JP" sz="9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rPr>
            <a:t>) </a:t>
          </a:r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rPr>
            <a:t>０００４９４３</a:t>
          </a:r>
          <a:endParaRPr kumimoji="1" lang="en-US" altLang="ja-JP" sz="900"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  <a:p>
          <a:pPr algn="l"/>
          <a:r>
            <a:rPr kumimoji="1" lang="ja-JP" altLang="en-US" sz="9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　</a:t>
          </a:r>
          <a:endParaRPr kumimoji="1" lang="en-US" altLang="ja-JP" sz="900"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  <a:p>
          <a:pPr algn="l"/>
          <a:r>
            <a:rPr kumimoji="1" lang="ja-JP" altLang="en-US" sz="8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　　　　上記いずれかの口座へのお振込みをお願いいたします。</a:t>
          </a:r>
          <a:endParaRPr kumimoji="1" lang="en-US" altLang="ja-JP" sz="800"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  <a:p>
          <a:pPr algn="l"/>
          <a:r>
            <a:rPr kumimoji="1" lang="ja-JP" altLang="en-US" sz="8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　　　　お振込手数料のご負担をお願いいたします。</a:t>
          </a:r>
          <a:endParaRPr kumimoji="1" lang="en-US" altLang="ja-JP" sz="800"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>
              <a:solidFill>
                <a:schemeClr val="dk1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rPr>
            <a:t>　　　　　　　　　　　　　　　　　　</a:t>
          </a:r>
          <a:r>
            <a:rPr kumimoji="1" lang="ja-JP" altLang="ja-JP" sz="900">
              <a:solidFill>
                <a:schemeClr val="dk1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rPr>
            <a:t>お支払い期限：</a:t>
          </a:r>
          <a:r>
            <a:rPr kumimoji="1" lang="en-US" altLang="ja-JP" sz="900">
              <a:solidFill>
                <a:schemeClr val="dk1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rPr>
            <a:t>6</a:t>
          </a:r>
          <a:r>
            <a:rPr kumimoji="1" lang="ja-JP" altLang="en-US" sz="900">
              <a:solidFill>
                <a:schemeClr val="dk1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rPr>
            <a:t>月</a:t>
          </a:r>
          <a:r>
            <a:rPr kumimoji="1" lang="en-US" altLang="ja-JP" sz="900">
              <a:solidFill>
                <a:schemeClr val="dk1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rPr>
            <a:t>30</a:t>
          </a:r>
          <a:r>
            <a:rPr kumimoji="1" lang="ja-JP" altLang="en-US" sz="900">
              <a:solidFill>
                <a:schemeClr val="dk1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rPr>
            <a:t>日</a:t>
          </a:r>
          <a:endParaRPr lang="ja-JP" altLang="ja-JP" sz="500">
            <a:effectLst/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361950</xdr:colOff>
      <xdr:row>7</xdr:row>
      <xdr:rowOff>95250</xdr:rowOff>
    </xdr:from>
    <xdr:to>
      <xdr:col>12</xdr:col>
      <xdr:colOff>609600</xdr:colOff>
      <xdr:row>16</xdr:row>
      <xdr:rowOff>57150</xdr:rowOff>
    </xdr:to>
    <xdr:sp macro="" textlink="">
      <xdr:nvSpPr>
        <xdr:cNvPr id="2" name="楕円 1">
          <a:extLst>
            <a:ext uri="{FF2B5EF4-FFF2-40B4-BE49-F238E27FC236}">
              <a16:creationId xmlns:a16="http://schemas.microsoft.com/office/drawing/2014/main" id="{8DAA2F0E-201C-4BA3-BF57-0574BE7F5D60}"/>
            </a:ext>
          </a:extLst>
        </xdr:cNvPr>
        <xdr:cNvSpPr/>
      </xdr:nvSpPr>
      <xdr:spPr>
        <a:xfrm>
          <a:off x="9486900" y="1752600"/>
          <a:ext cx="4400550" cy="1809750"/>
        </a:xfrm>
        <a:prstGeom prst="ellipse">
          <a:avLst/>
        </a:prstGeom>
        <a:solidFill>
          <a:schemeClr val="accent5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400" b="1">
              <a:solidFill>
                <a:sysClr val="windowText" lastClr="000000"/>
              </a:solidFill>
            </a:rPr>
            <a:t>ランドマークは、</a:t>
          </a:r>
          <a:endParaRPr kumimoji="1" lang="en-US" altLang="ja-JP" sz="1400" b="1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400" b="1">
              <a:solidFill>
                <a:sysClr val="windowText" lastClr="000000"/>
              </a:solidFill>
            </a:rPr>
            <a:t>１案件につき１枚請求書作成！</a:t>
          </a:r>
          <a:endParaRPr kumimoji="1" lang="en-US" altLang="ja-JP" sz="1400" b="1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400" b="1">
              <a:solidFill>
                <a:sysClr val="windowText" lastClr="000000"/>
              </a:solidFill>
            </a:rPr>
            <a:t>（送付はまとめてで</a:t>
          </a:r>
          <a:r>
            <a:rPr kumimoji="1" lang="en-US" altLang="ja-JP" sz="1400" b="1">
              <a:solidFill>
                <a:sysClr val="windowText" lastClr="000000"/>
              </a:solidFill>
            </a:rPr>
            <a:t>OK</a:t>
          </a:r>
          <a:r>
            <a:rPr kumimoji="1" lang="ja-JP" altLang="en-US" sz="1400" b="1">
              <a:solidFill>
                <a:sysClr val="windowText" lastClr="000000"/>
              </a:solidFill>
            </a:rPr>
            <a:t>）</a:t>
          </a:r>
          <a:r>
            <a:rPr kumimoji="1" lang="en-US" altLang="ja-JP" sz="1400" b="1">
              <a:solidFill>
                <a:sysClr val="windowText" lastClr="000000"/>
              </a:solidFill>
            </a:rPr>
            <a:t>--</a:t>
          </a:r>
          <a:endParaRPr kumimoji="1" lang="ja-JP" altLang="en-US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1114425</xdr:colOff>
      <xdr:row>11</xdr:row>
      <xdr:rowOff>219075</xdr:rowOff>
    </xdr:from>
    <xdr:to>
      <xdr:col>7</xdr:col>
      <xdr:colOff>917575</xdr:colOff>
      <xdr:row>18</xdr:row>
      <xdr:rowOff>295275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FCFE0C28-6892-4AF6-BE8B-624DEC0D4C7E}"/>
            </a:ext>
          </a:extLst>
        </xdr:cNvPr>
        <xdr:cNvSpPr txBox="1"/>
      </xdr:nvSpPr>
      <xdr:spPr>
        <a:xfrm>
          <a:off x="5667375" y="2809875"/>
          <a:ext cx="3355975" cy="13144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050" b="1">
              <a:solidFill>
                <a:schemeClr val="dk1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rPr>
            <a:t>口座名義　株式会社オーシャン</a:t>
          </a:r>
          <a:endParaRPr kumimoji="1" lang="en-US" altLang="ja-JP" sz="1050" b="1">
            <a:solidFill>
              <a:schemeClr val="dk1"/>
            </a:solidFill>
            <a:latin typeface="ＭＳ Ｐゴシック" panose="020B0600070205080204" pitchFamily="50" charset="-128"/>
            <a:ea typeface="ＭＳ Ｐゴシック" panose="020B0600070205080204" pitchFamily="50" charset="-128"/>
            <a:cs typeface="+mn-cs"/>
          </a:endParaRPr>
        </a:p>
        <a:p>
          <a:pPr algn="l"/>
          <a:r>
            <a:rPr kumimoji="1" lang="ja-JP" altLang="en-US" sz="9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　</a:t>
          </a:r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rPr>
            <a:t>・みずほ銀行   横浜東口支店</a:t>
          </a:r>
          <a:r>
            <a:rPr kumimoji="1" lang="en-US" altLang="ja-JP" sz="9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rPr>
            <a:t> </a:t>
          </a:r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rPr>
            <a:t>　</a:t>
          </a:r>
          <a:r>
            <a:rPr kumimoji="1" lang="en-US" altLang="ja-JP" sz="9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rPr>
            <a:t>(</a:t>
          </a:r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rPr>
            <a:t>普</a:t>
          </a:r>
          <a:r>
            <a:rPr kumimoji="1" lang="en-US" altLang="ja-JP" sz="9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rPr>
            <a:t>) </a:t>
          </a:r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rPr>
            <a:t>２１３５３１１</a:t>
          </a:r>
          <a:endParaRPr kumimoji="1" lang="en-US" altLang="ja-JP" sz="9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ＭＳ Ｐゴシック" panose="020B0600070205080204" pitchFamily="50" charset="-128"/>
            <a:ea typeface="ＭＳ Ｐゴシック" panose="020B0600070205080204" pitchFamily="50" charset="-128"/>
            <a:cs typeface="+mn-cs"/>
          </a:endParaRPr>
        </a:p>
        <a:p>
          <a:pPr algn="l"/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rPr>
            <a:t>　・きらぼし銀行　横浜西口支店　 </a:t>
          </a:r>
          <a:r>
            <a:rPr kumimoji="1" lang="en-US" altLang="ja-JP" sz="9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rPr>
            <a:t>(</a:t>
          </a:r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rPr>
            <a:t>普</a:t>
          </a:r>
          <a:r>
            <a:rPr kumimoji="1" lang="en-US" altLang="ja-JP" sz="9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rPr>
            <a:t>) </a:t>
          </a:r>
          <a:r>
            <a:rPr kumimoji="1" lang="ja-JP" altLang="en-US" sz="9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rPr>
            <a:t>０００４９４３</a:t>
          </a:r>
          <a:endParaRPr kumimoji="1" lang="en-US" altLang="ja-JP" sz="900"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  <a:p>
          <a:pPr algn="l"/>
          <a:r>
            <a:rPr kumimoji="1" lang="ja-JP" altLang="en-US" sz="9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　</a:t>
          </a:r>
          <a:endParaRPr kumimoji="1" lang="en-US" altLang="ja-JP" sz="900"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  <a:p>
          <a:pPr algn="l"/>
          <a:r>
            <a:rPr kumimoji="1" lang="ja-JP" altLang="en-US" sz="8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　　　　上記いずれかの口座へのお振込みをお願いいたします。</a:t>
          </a:r>
          <a:endParaRPr kumimoji="1" lang="en-US" altLang="ja-JP" sz="800"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  <a:p>
          <a:pPr algn="l"/>
          <a:r>
            <a:rPr kumimoji="1" lang="ja-JP" altLang="en-US" sz="8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　　　　お振込手数料のご負担をお願いいたします。</a:t>
          </a:r>
          <a:endParaRPr kumimoji="1" lang="en-US" altLang="ja-JP" sz="800"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>
              <a:solidFill>
                <a:schemeClr val="dk1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rPr>
            <a:t>　　　　　　　　　　　　　　　　　　</a:t>
          </a:r>
          <a:endParaRPr lang="ja-JP" altLang="ja-JP" sz="500">
            <a:effectLst/>
            <a:latin typeface="ＭＳ Ｐゴシック" panose="020B0600070205080204" pitchFamily="50" charset="-128"/>
            <a:ea typeface="ＭＳ Ｐゴシック" panose="020B0600070205080204" pitchFamily="50" charset="-128"/>
          </a:endParaRPr>
        </a:p>
      </xdr:txBody>
    </xdr:sp>
    <xdr:clientData/>
  </xdr:twoCellAnchor>
  <xdr:oneCellAnchor>
    <xdr:from>
      <xdr:col>6</xdr:col>
      <xdr:colOff>1113736</xdr:colOff>
      <xdr:row>5</xdr:row>
      <xdr:rowOff>19051</xdr:rowOff>
    </xdr:from>
    <xdr:ext cx="1102247" cy="1028700"/>
    <xdr:pic>
      <xdr:nvPicPr>
        <xdr:cNvPr id="4" name="図 3">
          <a:extLst>
            <a:ext uri="{FF2B5EF4-FFF2-40B4-BE49-F238E27FC236}">
              <a16:creationId xmlns:a16="http://schemas.microsoft.com/office/drawing/2014/main" id="{3E1D9F8F-F975-4A06-873B-4881D605AC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0311" y="1143001"/>
          <a:ext cx="1102247" cy="10287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150.100\&#12458;&#12540;&#12471;&#12515;&#12531;&#12501;&#12449;&#12452;&#12523;\&#9320;&#12288;&#32076;&#29702;&#36001;&#21209;&#12539;&#20154;&#20107;&#21172;&#21209;\&#9733;&#32076;&#29702;\&#12849;&#12458;&#12540;&#12471;&#12515;&#12531;&amp;GROUP&#26376;&#27425;&#35531;&#27714;&#31649;&#29702;\&#26376;&#27425;&#35531;&#27714;&#31649;&#29702;&#12501;&#12457;&#12523;&#12480;\&#20196;&#21644;8&#24180;\&#26666;OC&#65288;&#32076;&#29702;&#31649;&#29702;&#65289;\&#9734;&#65288;&#26666;&#65289;&#26376;&#27425;&#35531;&#27714;&#31649;&#29702;2026.6&#26376;.xlsx" TargetMode="External"/><Relationship Id="rId1" Type="http://schemas.openxmlformats.org/officeDocument/2006/relationships/externalLinkPath" Target="file:///\\192.168.150.100\&#12458;&#12540;&#12471;&#12515;&#12531;&#12501;&#12449;&#12452;&#12523;\&#9320;&#12288;&#32076;&#29702;&#36001;&#21209;&#12539;&#20154;&#20107;&#21172;&#21209;\&#9733;&#32076;&#29702;\&#12849;&#12458;&#12540;&#12471;&#12515;&#12531;&amp;GROUP&#26376;&#27425;&#35531;&#27714;&#31649;&#29702;\&#26376;&#27425;&#35531;&#27714;&#31649;&#29702;&#12501;&#12457;&#12523;&#12480;\&#20196;&#21644;8&#24180;\&#26666;OC&#65288;&#32076;&#29702;&#31649;&#29702;&#65289;\&#9734;&#65288;&#26666;&#65289;&#26376;&#27425;&#35531;&#27714;&#31649;&#29702;2026.6&#26376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240\disk1\&#12458;&#12540;&#12471;&#12515;&#12531;&#12501;&#12449;&#12452;&#12523;\&#9733;&#20381;&#38972;&#32773;\H27-Y1233&#12288;&#20304;&#34276;%20&#20581;&#27096;\H27-Y1233&#12288;&#20304;&#34276;&#20581;&#27096;&#9733;H27.2&#65374;&#26032;&#22996;&#20219;&#22865;&#32004;&#26360;&#19968;&#24335;&#65288;&#27178;&#27996;&#65289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50.100\&#12458;&#12540;&#12471;&#12515;&#12531;&#12501;&#12449;&#12452;&#12523;\Users\mkuro\OneDrive\&#12487;&#12473;&#12463;&#12488;&#12483;&#12503;\&#12467;&#12531;&#12469;&#12523;&#26449;&#30000;&#12373;&#12435;&#12398;&#35531;&#27714;&#26360;&#65286;&#38936;&#21454;&#26360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50.100\&#12458;&#12540;&#12471;&#12515;&#12531;&#12501;&#12449;&#12452;&#12523;\Users\&#30334;&#21512;&#23376;\Desktop\&#9733;&#9733;&#26368;&#26032;&#12304;&#20196;&#21644;&#20803;&#24180;&#29992;&#12305;&#26032;&#22996;&#20219;&#22865;&#32004;&#26360;&#19968;&#2433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コンパッソ税理士法人"/>
      <sheetName val="①オーシャン不動産 (2)"/>
      <sheetName val="①オーシャン不動産"/>
      <sheetName val="①オーシャン不動産 (3)"/>
      <sheetName val="②オーシャン不動産"/>
      <sheetName val="行政書士法人オーシャン（公益社）"/>
      <sheetName val="口座振替（RP)"/>
      <sheetName val="行オーシャン "/>
      <sheetName val="司オーシャン"/>
      <sheetName val="いきいき　賃料"/>
      <sheetName val="身元保証　賃料"/>
      <sheetName val="身元保証　システム料"/>
      <sheetName val="あんしん　賃料"/>
      <sheetName val="OCG　賃料"/>
      <sheetName val="不動産 "/>
      <sheetName val="ソニー生命"/>
      <sheetName val="LP集計用"/>
      <sheetName val="セミナー集計用"/>
      <sheetName val="list (コンサルTの表をコピー）"/>
      <sheetName val="請求管理"/>
      <sheetName val="(株)OC➡⑥→★経理提出請求書控え➡(株)請求書より"/>
      <sheetName val="list"/>
      <sheetName val="フォーマット ()"/>
      <sheetName val="フォーマット多"/>
      <sheetName val="こもれび工房　介護総合支援合同会社"/>
      <sheetName val="▲フジ相続  (2)"/>
      <sheetName val="株式会社NATTY"/>
      <sheetName val="介護総合支援合同会社"/>
      <sheetName val="S-9.LM1"/>
      <sheetName val="S-9.LM2"/>
      <sheetName val="S-9.LM3"/>
      <sheetName val="S-9.LM4"/>
      <sheetName val="S-9.LM50"/>
      <sheetName val="S-9.LM6　"/>
      <sheetName val="S-9.LM7　"/>
      <sheetName val="S-9.LM8　"/>
      <sheetName val="S-9.LM2 (2)"/>
      <sheetName val="S-9.LM1 (2)"/>
      <sheetName val="S-9.LM3 (2)"/>
      <sheetName val="S-9.LM4 (2)"/>
      <sheetName val="S-9.LM5"/>
      <sheetName val="S-9.LM6"/>
      <sheetName val="S-9.LM7"/>
      <sheetName val="WISH"/>
      <sheetName val="コルディアーレ"/>
      <sheetName val="▲ともに"/>
      <sheetName val="▲ともに (2)"/>
      <sheetName val="✉チェスター"/>
      <sheetName val="✉チェスター (2)"/>
      <sheetName val="クオーレ"/>
      <sheetName val="あいらいふ"/>
      <sheetName val="✉フロンティア"/>
      <sheetName val="✉フロンティア (2)"/>
      <sheetName val="✉トゥモローズ"/>
      <sheetName val="✉アミエル (2)"/>
      <sheetName val="✉アミエル (3)"/>
      <sheetName val="✉ネイチャー"/>
      <sheetName val="▲TAO"/>
      <sheetName val="▲TAO (2)"/>
      <sheetName val="▲岡野相続"/>
      <sheetName val="▲ふくみず"/>
      <sheetName val="▲ふくみず (2)"/>
      <sheetName val="吉澤大輔税理士法人"/>
      <sheetName val="▲YFPクレア"/>
      <sheetName val="▲YFPクレア (2)"/>
      <sheetName val="OAG"/>
      <sheetName val="✉Anbitious"/>
      <sheetName val="✉辻本郷"/>
      <sheetName val="✉辻本郷 "/>
      <sheetName val="✉辻本郷 (2)"/>
      <sheetName val="✉辻本郷 (3)"/>
      <sheetName val="✉TOTAL"/>
      <sheetName val="倉田淳一"/>
      <sheetName val="✉ブライト相続"/>
      <sheetName val="✉ブライト相続 (2)"/>
      <sheetName val="✉ブライト相続 (3)"/>
      <sheetName val="東京メトロポリタン"/>
      <sheetName val="イデアコンサルティング"/>
      <sheetName val="コルディアーレ税理士"/>
      <sheetName val="▲フジ相続 "/>
      <sheetName val="セブンセンス"/>
      <sheetName val="セブンセンス (2)"/>
      <sheetName val="✉マルイシ "/>
      <sheetName val="村川雄三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入力元"/>
      <sheetName val="簡易契約書"/>
      <sheetName val="簡易契約書 (協議書・解約追加)"/>
      <sheetName val="契約書★財産調査あり（連名） (2)"/>
      <sheetName val="契約書★財産調査なし（連名）"/>
      <sheetName val="契約書(遺言など単独)★財産調査なし"/>
      <sheetName val="契約書(遺言など単独)★財産調査あり"/>
      <sheetName val="契約書（1％）"/>
      <sheetName val="契約書（執行）"/>
      <sheetName val="委任状 (正巳)"/>
      <sheetName val="委任状"/>
      <sheetName val="委任状 (遺言・生前贈与)"/>
      <sheetName val="原本預かり証"/>
      <sheetName val="原本受領証"/>
      <sheetName val="請求書（前受金）"/>
      <sheetName val="請求書（前受金） (協議書・解約追加)"/>
      <sheetName val="請求書 (確定)"/>
      <sheetName val="立替実費"/>
      <sheetName val="領収書（前受金）"/>
      <sheetName val="領収書（前受金） (協議書・解約追加)"/>
      <sheetName val="領収書 (確定)"/>
      <sheetName val="角２封筒"/>
      <sheetName val="長形３号"/>
      <sheetName val="抽出元"/>
    </sheetNames>
    <sheetDataSet>
      <sheetData sheetId="0">
        <row r="5">
          <cell r="N5" t="str">
            <v>247-0053</v>
          </cell>
        </row>
      </sheetData>
      <sheetData sheetId="1"/>
      <sheetData sheetId="2"/>
      <sheetData sheetId="3"/>
      <sheetData sheetId="4"/>
      <sheetData sheetId="5">
        <row r="2">
          <cell r="AZ2" t="str">
            <v>契約司①</v>
          </cell>
        </row>
        <row r="3">
          <cell r="AZ3" t="str">
            <v>契約司②</v>
          </cell>
        </row>
      </sheetData>
      <sheetData sheetId="6"/>
      <sheetData sheetId="7"/>
      <sheetData sheetId="8"/>
      <sheetData sheetId="9"/>
      <sheetData sheetId="10">
        <row r="5">
          <cell r="AA5" t="str">
            <v>手続き一般</v>
          </cell>
        </row>
      </sheetData>
      <sheetData sheetId="11">
        <row r="4">
          <cell r="AA4" t="str">
            <v>遺言一般</v>
          </cell>
        </row>
      </sheetData>
      <sheetData sheetId="12"/>
      <sheetData sheetId="13"/>
      <sheetData sheetId="14">
        <row r="9">
          <cell r="R9" t="str">
            <v>行政書士法人</v>
          </cell>
        </row>
      </sheetData>
      <sheetData sheetId="15"/>
      <sheetData sheetId="16"/>
      <sheetData sheetId="17"/>
      <sheetData sheetId="18">
        <row r="9">
          <cell r="R9" t="str">
            <v>行政書士法人</v>
          </cell>
        </row>
      </sheetData>
      <sheetData sheetId="19"/>
      <sheetData sheetId="20"/>
      <sheetData sheetId="21"/>
      <sheetData sheetId="22"/>
      <sheetData sheetId="2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請求書（税抜"/>
      <sheetName val="新・請求書 (注文)"/>
      <sheetName val="新・請求書 (入会金) "/>
      <sheetName val="新・請求書 (会費)"/>
      <sheetName val="領収書"/>
    </sheetNames>
    <sheetDataSet>
      <sheetData sheetId="0">
        <row r="9">
          <cell r="R9" t="str">
            <v>株式会社オーシャン</v>
          </cell>
          <cell r="S9"/>
          <cell r="T9"/>
          <cell r="U9"/>
          <cell r="V9"/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入力元"/>
      <sheetName val="簡易契約書 "/>
      <sheetName val="簡易契約書 (行・司)"/>
      <sheetName val="契約書★財産調査あり（連名）"/>
      <sheetName val="契約書★財産調査なし（連名）"/>
      <sheetName val="契約書(遺言など単独)★財産調査なし "/>
      <sheetName val="契約書(遺言など単独)★財産調査あり "/>
      <sheetName val="委任状  (預金解約除く)"/>
      <sheetName val="委任状 "/>
      <sheetName val="委任状 (登記のみ) "/>
      <sheetName val="委任状 (生前贈与)"/>
      <sheetName val="委任状 (遺言検索のみ)"/>
      <sheetName val="委任状 (遺言のみ)"/>
      <sheetName val="委任状 (遺言一般)"/>
      <sheetName val="原本預かり証"/>
      <sheetName val="原本受領証"/>
      <sheetName val="返送書類ご案内一覧 "/>
      <sheetName val="契約書（1％）"/>
      <sheetName val="契約書（執行）"/>
      <sheetName val="請求書（前受金）行"/>
      <sheetName val="請求書（前受金）司"/>
      <sheetName val="立替実費"/>
      <sheetName val="請求書 (確定)行"/>
      <sheetName val="請求書 (確定) 司"/>
      <sheetName val="領収書（前受金）行"/>
      <sheetName val="領収書（前受金）司"/>
      <sheetName val="領収書 (確定)行"/>
      <sheetName val="領収書 (確定) 司"/>
      <sheetName val="角２封筒"/>
      <sheetName val="長形３号（白）"/>
      <sheetName val="長形３号 (茶)"/>
      <sheetName val="抽出元"/>
    </sheetNames>
    <sheetDataSet>
      <sheetData sheetId="0">
        <row r="9">
          <cell r="AC9" t="str">
            <v>無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9">
          <cell r="R9" t="str">
            <v>行政書士法人</v>
          </cell>
        </row>
      </sheetData>
      <sheetData sheetId="20"/>
      <sheetData sheetId="21"/>
      <sheetData sheetId="22">
        <row r="9">
          <cell r="R9" t="str">
            <v>行政書士法人</v>
          </cell>
        </row>
      </sheetData>
      <sheetData sheetId="23">
        <row r="9">
          <cell r="R9" t="str">
            <v>司法書士法人</v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98F8D-33F1-4951-BB99-67B9AFF3CE9A}">
  <sheetPr>
    <tabColor theme="8" tint="0.39997558519241921"/>
    <pageSetUpPr fitToPage="1"/>
  </sheetPr>
  <dimension ref="A1:O35"/>
  <sheetViews>
    <sheetView workbookViewId="0">
      <selection activeCell="G23" sqref="G23:H23"/>
    </sheetView>
  </sheetViews>
  <sheetFormatPr defaultColWidth="9" defaultRowHeight="13.5" x14ac:dyDescent="0.15"/>
  <cols>
    <col min="1" max="1" width="5.125" style="4" customWidth="1"/>
    <col min="2" max="2" width="11.375" style="4" customWidth="1"/>
    <col min="3" max="3" width="23.625" style="4" customWidth="1"/>
    <col min="4" max="4" width="19.625" style="4" customWidth="1"/>
    <col min="5" max="5" width="16.25" style="4" customWidth="1"/>
    <col min="6" max="6" width="14.375" style="4" customWidth="1"/>
    <col min="7" max="7" width="16" style="4" customWidth="1"/>
    <col min="8" max="8" width="13.375" style="4" customWidth="1"/>
    <col min="9" max="9" width="13.625" style="4" customWidth="1"/>
    <col min="10" max="10" width="15.125" style="4" customWidth="1"/>
    <col min="11" max="11" width="9" style="4"/>
    <col min="12" max="13" width="23.5" style="4" customWidth="1"/>
    <col min="14" max="16384" width="9" style="4"/>
  </cols>
  <sheetData>
    <row r="1" spans="1:15" ht="16.5" customHeight="1" x14ac:dyDescent="0.15">
      <c r="A1" s="1"/>
      <c r="B1" s="1"/>
      <c r="C1" s="1"/>
      <c r="D1" s="1"/>
      <c r="E1" s="1"/>
      <c r="F1" s="1"/>
      <c r="G1" s="2" t="s">
        <v>0</v>
      </c>
      <c r="H1" s="3">
        <v>46183</v>
      </c>
      <c r="I1" s="1"/>
    </row>
    <row r="2" spans="1:15" ht="6.75" customHeight="1" x14ac:dyDescent="0.15">
      <c r="A2" s="93" t="s">
        <v>33</v>
      </c>
      <c r="B2" s="93"/>
      <c r="C2" s="93"/>
      <c r="D2" s="93"/>
      <c r="E2" s="7"/>
      <c r="F2" s="1"/>
      <c r="G2" s="8"/>
      <c r="H2" s="9"/>
      <c r="I2" s="1"/>
    </row>
    <row r="3" spans="1:15" ht="16.5" customHeight="1" thickBot="1" x14ac:dyDescent="0.2">
      <c r="A3" s="93"/>
      <c r="B3" s="93"/>
      <c r="C3" s="93"/>
      <c r="D3" s="93"/>
      <c r="E3" s="7"/>
      <c r="F3" s="1"/>
      <c r="G3" s="10" t="s">
        <v>2</v>
      </c>
      <c r="H3" s="10"/>
      <c r="I3" s="1"/>
      <c r="J3" s="4" t="s">
        <v>3</v>
      </c>
      <c r="K3" s="94"/>
    </row>
    <row r="4" spans="1:15" ht="16.5" customHeight="1" x14ac:dyDescent="0.15">
      <c r="A4" s="14"/>
      <c r="B4" s="14"/>
      <c r="C4" s="14"/>
      <c r="D4" s="14"/>
      <c r="E4" s="14"/>
      <c r="F4" s="1"/>
      <c r="G4" s="15"/>
      <c r="H4" s="16" t="s">
        <v>5</v>
      </c>
      <c r="I4" s="1"/>
      <c r="K4" s="94"/>
    </row>
    <row r="5" spans="1:15" ht="17.25" customHeight="1" thickBot="1" x14ac:dyDescent="0.2">
      <c r="A5" s="15"/>
      <c r="B5" s="15"/>
      <c r="C5" s="15"/>
      <c r="D5" s="14"/>
      <c r="F5" s="20"/>
      <c r="G5" s="1"/>
      <c r="H5" s="21" t="s">
        <v>34</v>
      </c>
      <c r="I5" s="1"/>
      <c r="K5" s="94"/>
    </row>
    <row r="6" spans="1:15" ht="9.75" customHeight="1" x14ac:dyDescent="0.15">
      <c r="A6" s="20"/>
      <c r="B6" s="20"/>
      <c r="C6" s="20"/>
      <c r="D6" s="20"/>
      <c r="E6" s="20"/>
      <c r="F6" s="20"/>
      <c r="G6" s="22"/>
      <c r="H6" s="22"/>
      <c r="I6" s="1"/>
      <c r="K6" s="94"/>
    </row>
    <row r="7" spans="1:15" ht="26.25" customHeight="1" x14ac:dyDescent="0.15">
      <c r="A7" s="95" t="s">
        <v>35</v>
      </c>
      <c r="B7" s="95"/>
      <c r="C7" s="95"/>
      <c r="D7" s="95"/>
      <c r="E7" s="95"/>
      <c r="F7" s="95"/>
      <c r="G7" s="95"/>
      <c r="H7" s="95"/>
      <c r="I7" s="24"/>
      <c r="K7" s="94"/>
    </row>
    <row r="8" spans="1:15" ht="10.5" customHeight="1" x14ac:dyDescent="0.15">
      <c r="A8" s="95"/>
      <c r="B8" s="95"/>
      <c r="C8" s="95"/>
      <c r="D8" s="95"/>
      <c r="E8" s="95"/>
      <c r="F8" s="95"/>
      <c r="G8" s="95"/>
      <c r="H8" s="95"/>
      <c r="I8" s="25"/>
      <c r="K8" s="94"/>
    </row>
    <row r="9" spans="1:15" ht="18" customHeight="1" x14ac:dyDescent="0.15">
      <c r="A9" s="1"/>
      <c r="B9" s="1"/>
      <c r="C9" s="1"/>
      <c r="D9" s="1"/>
      <c r="E9" s="1"/>
      <c r="F9" s="1"/>
      <c r="G9" s="1"/>
      <c r="H9" s="26" t="s">
        <v>8</v>
      </c>
      <c r="I9" s="1"/>
      <c r="K9" s="94"/>
    </row>
    <row r="10" spans="1:15" ht="18" customHeight="1" x14ac:dyDescent="0.15">
      <c r="A10" s="1"/>
      <c r="B10" s="1"/>
      <c r="C10" s="1"/>
      <c r="D10" s="1"/>
      <c r="E10" s="1"/>
      <c r="F10" s="1"/>
      <c r="G10" s="1"/>
      <c r="H10" s="27" t="s">
        <v>9</v>
      </c>
      <c r="I10" s="1"/>
      <c r="K10" s="94"/>
      <c r="L10" s="28"/>
      <c r="M10" s="28"/>
      <c r="N10" s="29"/>
      <c r="O10" s="29"/>
    </row>
    <row r="11" spans="1:15" ht="15" customHeight="1" x14ac:dyDescent="0.15">
      <c r="A11" s="96" t="s">
        <v>10</v>
      </c>
      <c r="B11" s="96"/>
      <c r="C11" s="1"/>
      <c r="D11" s="1"/>
      <c r="E11" s="1"/>
      <c r="F11" s="31" t="s">
        <v>11</v>
      </c>
      <c r="G11" s="31"/>
      <c r="H11" s="31"/>
      <c r="I11" s="1"/>
      <c r="L11" s="36"/>
      <c r="M11" s="37"/>
      <c r="N11" s="38"/>
      <c r="O11" s="38"/>
    </row>
    <row r="12" spans="1:15" ht="18.75" customHeight="1" x14ac:dyDescent="0.15">
      <c r="A12" s="15" t="s">
        <v>12</v>
      </c>
      <c r="B12" s="15"/>
      <c r="C12" s="1"/>
      <c r="D12" s="1"/>
      <c r="E12" s="1"/>
      <c r="F12" s="1"/>
      <c r="G12" s="1"/>
      <c r="H12" s="1"/>
      <c r="I12" s="39"/>
      <c r="L12" s="36"/>
      <c r="M12" s="37"/>
      <c r="N12" s="38"/>
      <c r="O12" s="38"/>
    </row>
    <row r="13" spans="1:15" ht="13.5" customHeight="1" x14ac:dyDescent="0.15">
      <c r="A13" s="1"/>
      <c r="B13" s="1"/>
      <c r="C13" s="1"/>
      <c r="D13" s="15"/>
      <c r="E13" s="15"/>
      <c r="F13" s="15"/>
      <c r="G13" s="1"/>
      <c r="H13" s="1"/>
      <c r="L13" s="36"/>
      <c r="M13" s="42"/>
      <c r="N13" s="38"/>
      <c r="O13" s="38"/>
    </row>
    <row r="14" spans="1:15" ht="15" customHeight="1" x14ac:dyDescent="0.15">
      <c r="C14" s="1"/>
      <c r="D14" s="1"/>
      <c r="E14" s="1"/>
      <c r="F14" s="1"/>
      <c r="G14" s="1"/>
      <c r="H14" s="1"/>
      <c r="I14" s="15"/>
      <c r="J14" s="97" t="s">
        <v>36</v>
      </c>
      <c r="K14" s="97"/>
      <c r="L14" s="97"/>
      <c r="M14" s="97"/>
      <c r="N14" s="97"/>
      <c r="O14" s="97"/>
    </row>
    <row r="15" spans="1:15" ht="9" customHeight="1" x14ac:dyDescent="0.15">
      <c r="A15" s="1"/>
      <c r="B15" s="1"/>
      <c r="C15" s="1"/>
      <c r="D15" s="1"/>
      <c r="E15" s="1"/>
      <c r="F15" s="1"/>
      <c r="G15" s="1"/>
      <c r="H15" s="1"/>
      <c r="I15" s="15"/>
      <c r="J15" s="97"/>
      <c r="K15" s="97"/>
      <c r="L15" s="97"/>
      <c r="M15" s="97"/>
      <c r="N15" s="97"/>
      <c r="O15" s="97"/>
    </row>
    <row r="16" spans="1:15" ht="12.75" customHeight="1" x14ac:dyDescent="0.15">
      <c r="A16" s="1"/>
      <c r="B16" s="1"/>
      <c r="C16" s="1"/>
      <c r="D16" s="1"/>
      <c r="E16" s="1"/>
      <c r="F16" s="1"/>
      <c r="G16" s="1"/>
      <c r="H16" s="1"/>
      <c r="I16" s="1"/>
      <c r="J16" s="97"/>
      <c r="K16" s="97"/>
      <c r="L16" s="97"/>
      <c r="M16" s="97"/>
      <c r="N16" s="97"/>
      <c r="O16" s="97"/>
    </row>
    <row r="17" spans="1:15" ht="12.75" customHeight="1" x14ac:dyDescent="0.15">
      <c r="A17" s="1"/>
      <c r="B17" s="1"/>
      <c r="C17" s="1"/>
      <c r="D17" s="1"/>
      <c r="E17" s="1"/>
      <c r="F17" s="1"/>
      <c r="G17" s="1"/>
      <c r="H17" s="1"/>
      <c r="I17" s="1"/>
      <c r="J17" s="97"/>
      <c r="K17" s="97"/>
      <c r="L17" s="97"/>
      <c r="M17" s="97"/>
      <c r="N17" s="97"/>
      <c r="O17" s="97"/>
    </row>
    <row r="18" spans="1:15" ht="12.75" customHeight="1" x14ac:dyDescent="0.15">
      <c r="A18" s="15"/>
      <c r="B18" s="15"/>
      <c r="C18" s="15"/>
      <c r="D18" s="15"/>
      <c r="E18" s="15"/>
      <c r="F18" s="1"/>
      <c r="G18" s="1"/>
      <c r="H18" s="1"/>
      <c r="I18" s="1"/>
      <c r="J18" s="1"/>
      <c r="L18" s="36"/>
      <c r="M18" s="42"/>
      <c r="N18" s="38"/>
      <c r="O18" s="38"/>
    </row>
    <row r="19" spans="1:15" ht="18.75" customHeight="1" thickBot="1" x14ac:dyDescent="0.2">
      <c r="A19" s="45"/>
      <c r="B19" s="45"/>
      <c r="C19" s="45"/>
      <c r="D19" s="45"/>
      <c r="E19" s="15"/>
      <c r="F19" s="1"/>
      <c r="G19" s="1"/>
      <c r="H19" s="1"/>
      <c r="I19" s="44"/>
      <c r="J19" s="46" t="s">
        <v>13</v>
      </c>
      <c r="K19" s="38"/>
      <c r="L19" s="38"/>
    </row>
    <row r="20" spans="1:15" ht="24.75" customHeight="1" thickTop="1" thickBot="1" x14ac:dyDescent="0.2">
      <c r="A20" s="98" t="s">
        <v>15</v>
      </c>
      <c r="B20" s="99" t="s">
        <v>16</v>
      </c>
      <c r="C20" s="100" t="s">
        <v>17</v>
      </c>
      <c r="D20" s="100" t="s">
        <v>18</v>
      </c>
      <c r="E20" s="101" t="s">
        <v>19</v>
      </c>
      <c r="F20" s="102" t="s">
        <v>20</v>
      </c>
      <c r="G20" s="103" t="s">
        <v>21</v>
      </c>
      <c r="H20" s="104"/>
      <c r="I20" s="44"/>
      <c r="J20" s="56" t="s">
        <v>22</v>
      </c>
      <c r="K20" s="38"/>
    </row>
    <row r="21" spans="1:15" ht="24.75" customHeight="1" thickBot="1" x14ac:dyDescent="0.2">
      <c r="A21" s="105">
        <v>1</v>
      </c>
      <c r="B21" s="106" t="s">
        <v>37</v>
      </c>
      <c r="C21" s="107" t="s">
        <v>38</v>
      </c>
      <c r="D21" s="107" t="s">
        <v>39</v>
      </c>
      <c r="E21" s="108">
        <v>111540</v>
      </c>
      <c r="F21" s="109">
        <f>J21*0.1</f>
        <v>10140</v>
      </c>
      <c r="G21" s="110" t="s">
        <v>40</v>
      </c>
      <c r="H21" s="111"/>
      <c r="I21" s="44"/>
      <c r="J21" s="65">
        <f>E21/1.1</f>
        <v>101399.99999999999</v>
      </c>
      <c r="K21" s="48"/>
    </row>
    <row r="22" spans="1:15" ht="24.75" customHeight="1" x14ac:dyDescent="0.15">
      <c r="A22" s="112">
        <v>2</v>
      </c>
      <c r="B22" s="113" t="s">
        <v>37</v>
      </c>
      <c r="C22" s="114" t="s">
        <v>38</v>
      </c>
      <c r="D22" s="114" t="s">
        <v>39</v>
      </c>
      <c r="E22" s="115">
        <v>111540</v>
      </c>
      <c r="F22" s="116">
        <f>J22*0.1</f>
        <v>10140</v>
      </c>
      <c r="G22" s="117" t="s">
        <v>41</v>
      </c>
      <c r="H22" s="118"/>
      <c r="I22" s="44"/>
      <c r="J22" s="65">
        <f>E22/1.1</f>
        <v>101399.99999999999</v>
      </c>
      <c r="K22" s="48"/>
    </row>
    <row r="23" spans="1:15" ht="24.75" customHeight="1" thickBot="1" x14ac:dyDescent="0.2">
      <c r="A23" s="119">
        <v>3</v>
      </c>
      <c r="B23" s="120" t="s">
        <v>37</v>
      </c>
      <c r="C23" s="121" t="s">
        <v>38</v>
      </c>
      <c r="D23" s="121" t="s">
        <v>39</v>
      </c>
      <c r="E23" s="122">
        <v>175340</v>
      </c>
      <c r="F23" s="123">
        <f>J23*0.1</f>
        <v>15940</v>
      </c>
      <c r="G23" s="124" t="s">
        <v>41</v>
      </c>
      <c r="H23" s="125"/>
      <c r="I23" s="44"/>
      <c r="J23" s="74">
        <f>E23/1.1</f>
        <v>159400</v>
      </c>
    </row>
    <row r="24" spans="1:15" ht="24.75" customHeight="1" thickBot="1" x14ac:dyDescent="0.2">
      <c r="A24" s="1"/>
      <c r="B24" s="1"/>
      <c r="C24" s="1"/>
      <c r="D24" s="75" t="s">
        <v>28</v>
      </c>
      <c r="E24" s="126">
        <f>ROUNDUP(SUM(E21:E23),0)</f>
        <v>398420</v>
      </c>
      <c r="H24" s="77"/>
      <c r="I24" s="1"/>
    </row>
    <row r="25" spans="1:15" ht="24.75" customHeight="1" thickTop="1" x14ac:dyDescent="0.15">
      <c r="A25" s="43"/>
      <c r="B25" s="43"/>
      <c r="C25" s="43"/>
      <c r="D25" s="43"/>
      <c r="E25" s="43"/>
      <c r="F25" s="43"/>
      <c r="G25" s="43"/>
      <c r="H25" s="43"/>
      <c r="I25" s="43"/>
      <c r="J25" s="44"/>
    </row>
    <row r="26" spans="1:15" ht="17.25" customHeight="1" x14ac:dyDescent="0.15">
      <c r="A26" s="43"/>
      <c r="B26" s="43"/>
      <c r="C26" s="79" t="s">
        <v>30</v>
      </c>
      <c r="D26" s="80"/>
      <c r="E26" s="127">
        <f>SUM(E24)</f>
        <v>398420</v>
      </c>
      <c r="F26" s="128"/>
      <c r="G26" s="43"/>
      <c r="H26" s="43"/>
      <c r="I26" s="43"/>
      <c r="J26" s="44"/>
      <c r="K26" s="129"/>
    </row>
    <row r="27" spans="1:15" ht="17.25" customHeight="1" thickBot="1" x14ac:dyDescent="0.2">
      <c r="A27" s="43"/>
      <c r="B27" s="43"/>
      <c r="C27" s="130" t="s">
        <v>31</v>
      </c>
      <c r="D27" s="131"/>
      <c r="E27" s="132">
        <f>SUM(F21:F23)</f>
        <v>36220</v>
      </c>
      <c r="F27" s="133"/>
      <c r="G27" s="43"/>
      <c r="H27" s="43"/>
      <c r="I27" s="43"/>
      <c r="J27" s="44"/>
      <c r="K27" s="129"/>
    </row>
    <row r="28" spans="1:15" ht="36" customHeight="1" thickTop="1" thickBot="1" x14ac:dyDescent="0.2">
      <c r="A28" s="1"/>
      <c r="B28" s="1"/>
      <c r="C28" s="134" t="s">
        <v>32</v>
      </c>
      <c r="D28" s="135"/>
      <c r="E28" s="136">
        <f>E24</f>
        <v>398420</v>
      </c>
      <c r="F28" s="137"/>
      <c r="G28" s="43"/>
      <c r="H28" s="43"/>
      <c r="I28" s="43"/>
    </row>
    <row r="29" spans="1:15" ht="21" customHeight="1" thickTop="1" x14ac:dyDescent="0.15">
      <c r="A29" s="43"/>
      <c r="B29" s="43"/>
      <c r="C29" s="43"/>
      <c r="D29" s="43"/>
      <c r="E29" s="43"/>
      <c r="F29" s="43"/>
      <c r="G29" s="43"/>
      <c r="H29" s="43"/>
      <c r="I29" s="43"/>
    </row>
    <row r="30" spans="1:15" ht="18.75" x14ac:dyDescent="0.4">
      <c r="A30" s="43"/>
      <c r="B30" s="43"/>
      <c r="C30" s="43"/>
      <c r="D30" s="43"/>
      <c r="E30" s="43"/>
      <c r="F30" s="43"/>
      <c r="G30" s="43"/>
      <c r="H30" s="43"/>
      <c r="I30" s="43"/>
      <c r="L30" s="138"/>
    </row>
    <row r="31" spans="1:15" ht="13.5" customHeight="1" x14ac:dyDescent="0.4">
      <c r="A31" s="43"/>
      <c r="B31" s="43"/>
      <c r="C31" s="43"/>
      <c r="D31" s="43"/>
      <c r="E31" s="43"/>
      <c r="F31" s="43"/>
      <c r="G31" s="43"/>
      <c r="H31" s="43"/>
      <c r="I31" s="43"/>
      <c r="L31" s="138"/>
    </row>
    <row r="32" spans="1:15" ht="14.25" customHeight="1" x14ac:dyDescent="0.4">
      <c r="A32" s="43"/>
      <c r="B32" s="43"/>
      <c r="C32" s="43"/>
      <c r="D32" s="43"/>
      <c r="E32" s="43"/>
      <c r="F32" s="43"/>
      <c r="G32" s="43"/>
      <c r="H32" s="43"/>
      <c r="L32" s="138"/>
    </row>
    <row r="33" spans="1:8" x14ac:dyDescent="0.15">
      <c r="A33" s="43"/>
      <c r="B33" s="43"/>
      <c r="C33" s="43"/>
      <c r="D33" s="43"/>
      <c r="E33" s="43"/>
      <c r="F33" s="43"/>
      <c r="G33" s="43"/>
      <c r="H33" s="43"/>
    </row>
    <row r="34" spans="1:8" x14ac:dyDescent="0.15">
      <c r="A34" s="43"/>
      <c r="B34" s="43"/>
      <c r="C34" s="43"/>
      <c r="D34" s="43"/>
      <c r="E34" s="43"/>
      <c r="F34" s="43"/>
      <c r="G34" s="43"/>
      <c r="H34" s="43"/>
    </row>
    <row r="35" spans="1:8" x14ac:dyDescent="0.15">
      <c r="A35" s="43"/>
      <c r="B35" s="43"/>
      <c r="C35" s="43"/>
      <c r="D35" s="43"/>
      <c r="E35" s="43"/>
      <c r="F35" s="43"/>
      <c r="G35" s="43"/>
      <c r="H35" s="43"/>
    </row>
  </sheetData>
  <mergeCells count="15">
    <mergeCell ref="C28:D28"/>
    <mergeCell ref="E28:F28"/>
    <mergeCell ref="G21:H21"/>
    <mergeCell ref="G22:H22"/>
    <mergeCell ref="G23:H23"/>
    <mergeCell ref="C26:D26"/>
    <mergeCell ref="E26:F26"/>
    <mergeCell ref="C27:D27"/>
    <mergeCell ref="E27:F27"/>
    <mergeCell ref="A2:D3"/>
    <mergeCell ref="G3:H3"/>
    <mergeCell ref="A7:H8"/>
    <mergeCell ref="F11:H11"/>
    <mergeCell ref="J14:O17"/>
    <mergeCell ref="G20:H20"/>
  </mergeCells>
  <phoneticPr fontId="3"/>
  <pageMargins left="0.51181102362204722" right="0.51181102362204722" top="0.74803149606299213" bottom="0.74803149606299213" header="0.31496062992125984" footer="0.31496062992125984"/>
  <pageSetup paperSize="9" scale="78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9076B-86B9-4455-A782-1E8FD9290598}">
  <sheetPr>
    <tabColor theme="8" tint="0.39997558519241921"/>
    <pageSetUpPr fitToPage="1"/>
  </sheetPr>
  <dimension ref="A1:T37"/>
  <sheetViews>
    <sheetView tabSelected="1" workbookViewId="0">
      <selection activeCell="J22" sqref="J22"/>
    </sheetView>
  </sheetViews>
  <sheetFormatPr defaultColWidth="9" defaultRowHeight="13.5" x14ac:dyDescent="0.15"/>
  <cols>
    <col min="1" max="1" width="5.125" style="4" customWidth="1"/>
    <col min="2" max="2" width="11.375" style="4" customWidth="1"/>
    <col min="3" max="3" width="23.625" style="4" customWidth="1"/>
    <col min="4" max="4" width="19.625" style="4" customWidth="1"/>
    <col min="5" max="5" width="16.25" style="4" customWidth="1"/>
    <col min="6" max="6" width="14.375" style="4" customWidth="1"/>
    <col min="7" max="7" width="16" style="4" customWidth="1"/>
    <col min="8" max="8" width="13.375" style="4" customWidth="1"/>
    <col min="9" max="9" width="13.625" style="4" customWidth="1"/>
    <col min="10" max="10" width="15.125" style="4" customWidth="1"/>
    <col min="11" max="11" width="10.25" style="4" customWidth="1"/>
    <col min="12" max="12" width="15.5" style="4" customWidth="1"/>
    <col min="13" max="15" width="9" style="4"/>
    <col min="16" max="18" width="23.5" style="4" customWidth="1"/>
    <col min="19" max="16384" width="9" style="4"/>
  </cols>
  <sheetData>
    <row r="1" spans="1:20" ht="19.5" customHeight="1" x14ac:dyDescent="0.15">
      <c r="A1" s="1"/>
      <c r="B1" s="1"/>
      <c r="C1" s="1"/>
      <c r="D1" s="1"/>
      <c r="E1" s="1"/>
      <c r="F1" s="1"/>
      <c r="G1" s="2" t="s">
        <v>0</v>
      </c>
      <c r="H1" s="3">
        <v>46189</v>
      </c>
      <c r="I1" s="1"/>
      <c r="L1" s="5"/>
      <c r="M1" s="5"/>
    </row>
    <row r="2" spans="1:20" ht="9.75" customHeight="1" thickBot="1" x14ac:dyDescent="0.2">
      <c r="A2" s="6" t="s">
        <v>1</v>
      </c>
      <c r="B2" s="6"/>
      <c r="C2" s="6"/>
      <c r="D2" s="6"/>
      <c r="E2" s="7"/>
      <c r="F2" s="1"/>
      <c r="G2" s="8"/>
      <c r="H2" s="9"/>
      <c r="I2" s="1"/>
      <c r="L2" s="5"/>
      <c r="M2" s="5"/>
    </row>
    <row r="3" spans="1:20" ht="19.5" customHeight="1" thickBot="1" x14ac:dyDescent="0.2">
      <c r="A3" s="6"/>
      <c r="B3" s="6"/>
      <c r="C3" s="6"/>
      <c r="D3" s="6"/>
      <c r="E3" s="7"/>
      <c r="F3" s="1"/>
      <c r="G3" s="10" t="s">
        <v>2</v>
      </c>
      <c r="H3" s="10"/>
      <c r="I3" s="1"/>
      <c r="J3" s="4" t="s">
        <v>3</v>
      </c>
      <c r="L3" s="11" t="s">
        <v>4</v>
      </c>
      <c r="M3" s="12"/>
      <c r="N3" s="12"/>
      <c r="O3" s="13"/>
    </row>
    <row r="4" spans="1:20" ht="19.5" customHeight="1" x14ac:dyDescent="0.15">
      <c r="A4" s="14"/>
      <c r="B4" s="14"/>
      <c r="C4" s="14"/>
      <c r="D4" s="14"/>
      <c r="E4" s="14"/>
      <c r="F4" s="1"/>
      <c r="G4" s="15"/>
      <c r="H4" s="16" t="s">
        <v>5</v>
      </c>
      <c r="I4" s="1"/>
      <c r="L4" s="17"/>
      <c r="M4" s="18"/>
      <c r="N4" s="18"/>
      <c r="O4" s="19"/>
    </row>
    <row r="5" spans="1:20" ht="20.25" customHeight="1" thickBot="1" x14ac:dyDescent="0.2">
      <c r="A5" s="15"/>
      <c r="B5" s="15"/>
      <c r="C5" s="15"/>
      <c r="D5" s="14"/>
      <c r="F5" s="20"/>
      <c r="G5" s="1"/>
      <c r="H5" s="21" t="s">
        <v>6</v>
      </c>
      <c r="I5" s="1"/>
      <c r="L5" s="17"/>
      <c r="M5" s="18"/>
      <c r="N5" s="18"/>
      <c r="O5" s="19"/>
    </row>
    <row r="6" spans="1:20" ht="12.75" customHeight="1" x14ac:dyDescent="0.15">
      <c r="A6" s="20"/>
      <c r="B6" s="20"/>
      <c r="C6" s="20"/>
      <c r="D6" s="20"/>
      <c r="E6" s="20"/>
      <c r="F6" s="20"/>
      <c r="G6" s="22"/>
      <c r="H6" s="22"/>
      <c r="I6" s="1"/>
      <c r="L6" s="17"/>
      <c r="M6" s="18"/>
      <c r="N6" s="18"/>
      <c r="O6" s="19"/>
    </row>
    <row r="7" spans="1:20" ht="29.25" customHeight="1" x14ac:dyDescent="0.15">
      <c r="A7" s="23" t="s">
        <v>7</v>
      </c>
      <c r="B7" s="23"/>
      <c r="C7" s="23"/>
      <c r="D7" s="23"/>
      <c r="E7" s="23"/>
      <c r="F7" s="23"/>
      <c r="G7" s="23"/>
      <c r="H7" s="23"/>
      <c r="I7" s="24"/>
      <c r="L7" s="17"/>
      <c r="M7" s="18"/>
      <c r="N7" s="18"/>
      <c r="O7" s="19"/>
    </row>
    <row r="8" spans="1:20" ht="13.5" customHeight="1" x14ac:dyDescent="0.15">
      <c r="A8" s="23"/>
      <c r="B8" s="23"/>
      <c r="C8" s="23"/>
      <c r="D8" s="23"/>
      <c r="E8" s="23"/>
      <c r="F8" s="23"/>
      <c r="G8" s="23"/>
      <c r="H8" s="23"/>
      <c r="I8" s="25"/>
      <c r="L8" s="17"/>
      <c r="M8" s="18"/>
      <c r="N8" s="18"/>
      <c r="O8" s="19"/>
    </row>
    <row r="9" spans="1:20" ht="21" customHeight="1" x14ac:dyDescent="0.15">
      <c r="A9" s="1"/>
      <c r="B9" s="1"/>
      <c r="C9" s="1"/>
      <c r="D9" s="1"/>
      <c r="E9" s="1"/>
      <c r="F9" s="1"/>
      <c r="G9" s="1"/>
      <c r="H9" s="26" t="s">
        <v>8</v>
      </c>
      <c r="I9" s="1"/>
      <c r="L9" s="17"/>
      <c r="M9" s="18"/>
      <c r="N9" s="18"/>
      <c r="O9" s="19"/>
    </row>
    <row r="10" spans="1:20" ht="21" customHeight="1" x14ac:dyDescent="0.15">
      <c r="A10" s="1"/>
      <c r="B10" s="1"/>
      <c r="C10" s="1"/>
      <c r="D10" s="1"/>
      <c r="E10" s="1"/>
      <c r="F10" s="1"/>
      <c r="G10" s="1"/>
      <c r="H10" s="27" t="s">
        <v>9</v>
      </c>
      <c r="I10" s="1"/>
      <c r="K10" s="28"/>
      <c r="L10" s="17"/>
      <c r="M10" s="18"/>
      <c r="N10" s="18"/>
      <c r="O10" s="19"/>
      <c r="P10" s="28"/>
      <c r="Q10" s="28"/>
      <c r="R10" s="28"/>
      <c r="S10" s="29"/>
      <c r="T10" s="29"/>
    </row>
    <row r="11" spans="1:20" ht="18" customHeight="1" thickBot="1" x14ac:dyDescent="0.2">
      <c r="A11" s="30" t="s">
        <v>10</v>
      </c>
      <c r="B11" s="30"/>
      <c r="C11" s="1"/>
      <c r="D11" s="1"/>
      <c r="E11" s="1"/>
      <c r="F11" s="31" t="s">
        <v>11</v>
      </c>
      <c r="G11" s="31"/>
      <c r="H11" s="31"/>
      <c r="I11" s="1"/>
      <c r="K11" s="32"/>
      <c r="L11" s="33"/>
      <c r="M11" s="34"/>
      <c r="N11" s="34"/>
      <c r="O11" s="35"/>
      <c r="P11" s="32"/>
      <c r="Q11" s="36"/>
      <c r="R11" s="37"/>
      <c r="S11" s="38"/>
      <c r="T11" s="38"/>
    </row>
    <row r="12" spans="1:20" ht="21.75" customHeight="1" x14ac:dyDescent="0.15">
      <c r="A12" s="1" t="s">
        <v>12</v>
      </c>
      <c r="B12" s="1"/>
      <c r="C12" s="1"/>
      <c r="D12" s="1"/>
      <c r="E12" s="1"/>
      <c r="F12" s="1"/>
      <c r="G12" s="1"/>
      <c r="H12" s="1"/>
      <c r="I12" s="39"/>
      <c r="J12" s="15"/>
      <c r="K12" s="32"/>
      <c r="M12" s="40"/>
      <c r="N12" s="41"/>
      <c r="O12" s="41"/>
      <c r="P12" s="32"/>
      <c r="Q12" s="36"/>
      <c r="R12" s="37"/>
      <c r="S12" s="38"/>
      <c r="T12" s="38"/>
    </row>
    <row r="13" spans="1:20" ht="13.5" customHeight="1" x14ac:dyDescent="0.15">
      <c r="A13" s="1"/>
      <c r="B13" s="1"/>
      <c r="C13" s="1"/>
      <c r="D13" s="15"/>
      <c r="E13" s="15"/>
      <c r="F13" s="15"/>
      <c r="G13" s="1"/>
      <c r="H13" s="1"/>
      <c r="J13" s="1"/>
      <c r="K13" s="32"/>
      <c r="M13" s="40"/>
      <c r="N13" s="38"/>
      <c r="O13" s="38"/>
      <c r="P13" s="32"/>
      <c r="Q13" s="36"/>
      <c r="R13" s="42"/>
      <c r="S13" s="38"/>
      <c r="T13" s="38"/>
    </row>
    <row r="14" spans="1:20" ht="15" customHeight="1" x14ac:dyDescent="0.15">
      <c r="C14" s="1"/>
      <c r="D14" s="1"/>
      <c r="E14" s="1"/>
      <c r="F14" s="1"/>
      <c r="G14" s="1"/>
      <c r="H14" s="1"/>
      <c r="I14" s="15"/>
      <c r="J14" s="15"/>
      <c r="K14" s="42"/>
      <c r="M14" s="40"/>
      <c r="N14" s="32"/>
      <c r="O14" s="36"/>
      <c r="P14" s="42"/>
      <c r="Q14" s="38"/>
      <c r="R14" s="38"/>
    </row>
    <row r="15" spans="1:20" ht="9" customHeight="1" x14ac:dyDescent="0.15">
      <c r="A15" s="1"/>
      <c r="B15" s="1"/>
      <c r="C15" s="1"/>
      <c r="D15" s="1"/>
      <c r="E15" s="1"/>
      <c r="F15" s="1"/>
      <c r="G15" s="1"/>
      <c r="H15" s="1"/>
      <c r="I15" s="15"/>
      <c r="J15" s="1"/>
      <c r="K15" s="42"/>
      <c r="M15" s="40"/>
      <c r="N15" s="32"/>
      <c r="O15" s="36"/>
      <c r="P15" s="42"/>
      <c r="Q15" s="38"/>
      <c r="R15" s="38"/>
    </row>
    <row r="16" spans="1:20" ht="12.75" customHeight="1" x14ac:dyDescent="0.15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8" ht="12.75" customHeight="1" x14ac:dyDescent="0.1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8" ht="12.75" customHeight="1" x14ac:dyDescent="0.15">
      <c r="A18" s="15"/>
      <c r="B18" s="15"/>
      <c r="C18" s="15"/>
      <c r="D18" s="15"/>
      <c r="E18" s="15"/>
      <c r="F18" s="1"/>
      <c r="G18" s="1"/>
      <c r="H18" s="1"/>
      <c r="I18" s="1"/>
      <c r="J18" s="1"/>
      <c r="K18" s="42"/>
      <c r="M18" s="40"/>
      <c r="N18" s="32"/>
      <c r="O18" s="36"/>
      <c r="P18" s="42"/>
      <c r="Q18" s="38"/>
      <c r="R18" s="38"/>
    </row>
    <row r="19" spans="1:18" ht="24.75" customHeight="1" x14ac:dyDescent="0.15">
      <c r="A19" s="43"/>
      <c r="B19" s="43"/>
      <c r="C19" s="43"/>
      <c r="D19" s="43"/>
      <c r="E19" s="43"/>
      <c r="F19" s="43"/>
      <c r="G19" s="43"/>
      <c r="H19" s="43"/>
      <c r="I19" s="43"/>
      <c r="J19" s="44"/>
      <c r="L19" s="38"/>
      <c r="M19" s="38"/>
    </row>
    <row r="20" spans="1:18" ht="24.75" customHeight="1" x14ac:dyDescent="0.15">
      <c r="A20" s="43"/>
      <c r="B20" s="43"/>
      <c r="C20" s="43"/>
      <c r="D20" s="43"/>
      <c r="E20" s="43"/>
      <c r="F20" s="43"/>
      <c r="G20" s="43"/>
      <c r="H20" s="43"/>
      <c r="I20" s="43"/>
      <c r="J20" s="44"/>
      <c r="L20" s="38"/>
      <c r="M20" s="38"/>
    </row>
    <row r="21" spans="1:18" ht="21.75" customHeight="1" thickBot="1" x14ac:dyDescent="0.2">
      <c r="A21" s="15"/>
      <c r="B21" s="45"/>
      <c r="C21" s="45"/>
      <c r="D21" s="45"/>
      <c r="E21" s="15"/>
      <c r="F21" s="1"/>
      <c r="G21" s="1"/>
      <c r="H21" s="1"/>
      <c r="I21" s="44"/>
      <c r="J21" s="46" t="s">
        <v>13</v>
      </c>
      <c r="L21" s="47" t="s">
        <v>14</v>
      </c>
      <c r="M21" s="48"/>
      <c r="N21" s="38"/>
      <c r="O21" s="38"/>
    </row>
    <row r="22" spans="1:18" ht="27.75" customHeight="1" thickTop="1" thickBot="1" x14ac:dyDescent="0.2">
      <c r="A22" s="49" t="s">
        <v>15</v>
      </c>
      <c r="B22" s="50" t="s">
        <v>16</v>
      </c>
      <c r="C22" s="51" t="s">
        <v>17</v>
      </c>
      <c r="D22" s="51" t="s">
        <v>18</v>
      </c>
      <c r="E22" s="52" t="s">
        <v>19</v>
      </c>
      <c r="F22" s="53" t="s">
        <v>20</v>
      </c>
      <c r="G22" s="54" t="s">
        <v>21</v>
      </c>
      <c r="H22" s="55"/>
      <c r="I22" s="44"/>
      <c r="J22" s="56" t="s">
        <v>22</v>
      </c>
      <c r="L22" s="47" t="s">
        <v>23</v>
      </c>
    </row>
    <row r="23" spans="1:18" ht="38.25" customHeight="1" thickBot="1" x14ac:dyDescent="0.2">
      <c r="A23" s="57">
        <v>1</v>
      </c>
      <c r="B23" s="58">
        <v>5</v>
      </c>
      <c r="C23" s="59" t="s">
        <v>24</v>
      </c>
      <c r="D23" s="60" t="s">
        <v>25</v>
      </c>
      <c r="E23" s="61">
        <v>49500</v>
      </c>
      <c r="F23" s="62">
        <f>J23*0.1</f>
        <v>4500</v>
      </c>
      <c r="G23" s="63" t="s">
        <v>42</v>
      </c>
      <c r="H23" s="64"/>
      <c r="I23" s="44"/>
      <c r="J23" s="65">
        <f>E23/1.1</f>
        <v>45000</v>
      </c>
      <c r="L23" s="47" t="s">
        <v>26</v>
      </c>
    </row>
    <row r="24" spans="1:18" ht="11.25" hidden="1" customHeight="1" thickBot="1" x14ac:dyDescent="0.2">
      <c r="A24" s="66">
        <v>2</v>
      </c>
      <c r="B24" s="67"/>
      <c r="C24" s="68"/>
      <c r="D24" s="69"/>
      <c r="E24" s="70"/>
      <c r="F24" s="71">
        <f>J24*0.1</f>
        <v>0</v>
      </c>
      <c r="G24" s="72"/>
      <c r="H24" s="73"/>
      <c r="I24" s="44"/>
      <c r="J24" s="74">
        <f>E24/1.1</f>
        <v>0</v>
      </c>
      <c r="L24" s="47" t="s">
        <v>27</v>
      </c>
    </row>
    <row r="25" spans="1:18" ht="27.75" customHeight="1" thickBot="1" x14ac:dyDescent="0.45">
      <c r="A25" s="1"/>
      <c r="B25" s="1"/>
      <c r="C25" s="1"/>
      <c r="D25" s="75" t="s">
        <v>28</v>
      </c>
      <c r="E25" s="76">
        <f>ROUNDUP(SUM(E23:E24),0)</f>
        <v>49500</v>
      </c>
      <c r="H25" s="77"/>
      <c r="I25" s="1"/>
      <c r="L25" s="78" t="s">
        <v>29</v>
      </c>
    </row>
    <row r="26" spans="1:18" ht="24.75" customHeight="1" thickTop="1" x14ac:dyDescent="0.15">
      <c r="A26" s="43"/>
      <c r="B26" s="43"/>
      <c r="C26" s="43"/>
      <c r="D26" s="43"/>
      <c r="E26" s="43"/>
      <c r="F26" s="43"/>
      <c r="G26" s="43"/>
      <c r="H26" s="43"/>
      <c r="I26" s="43"/>
      <c r="J26" s="44"/>
    </row>
    <row r="27" spans="1:18" ht="24.75" customHeight="1" x14ac:dyDescent="0.15">
      <c r="A27" s="43"/>
      <c r="B27" s="43"/>
      <c r="C27" s="43"/>
      <c r="D27" s="43"/>
      <c r="E27" s="43"/>
      <c r="F27" s="43"/>
      <c r="G27" s="43"/>
      <c r="H27" s="43"/>
      <c r="I27" s="43"/>
      <c r="J27" s="44"/>
    </row>
    <row r="28" spans="1:18" ht="20.25" customHeight="1" x14ac:dyDescent="0.15">
      <c r="A28" s="43"/>
      <c r="B28" s="43"/>
      <c r="C28" s="79" t="s">
        <v>30</v>
      </c>
      <c r="D28" s="80"/>
      <c r="E28" s="81">
        <f>SUM(E25)</f>
        <v>49500</v>
      </c>
      <c r="F28" s="82"/>
      <c r="G28" s="43"/>
      <c r="H28" s="43"/>
      <c r="I28" s="43"/>
      <c r="J28" s="44"/>
    </row>
    <row r="29" spans="1:18" ht="20.25" customHeight="1" thickBot="1" x14ac:dyDescent="0.2">
      <c r="A29" s="43"/>
      <c r="B29" s="43"/>
      <c r="C29" s="83" t="s">
        <v>31</v>
      </c>
      <c r="D29" s="84"/>
      <c r="E29" s="85">
        <f>SUM(F23:F24)</f>
        <v>4500</v>
      </c>
      <c r="F29" s="86"/>
      <c r="G29" s="43"/>
      <c r="H29" s="43"/>
      <c r="I29" s="43"/>
      <c r="J29" s="44"/>
    </row>
    <row r="30" spans="1:18" ht="39" customHeight="1" thickTop="1" thickBot="1" x14ac:dyDescent="0.2">
      <c r="A30" s="1"/>
      <c r="B30" s="1"/>
      <c r="C30" s="87" t="s">
        <v>32</v>
      </c>
      <c r="D30" s="88"/>
      <c r="E30" s="89">
        <f>E25</f>
        <v>49500</v>
      </c>
      <c r="F30" s="90"/>
      <c r="G30" s="43"/>
      <c r="H30" s="43"/>
      <c r="I30" s="43"/>
    </row>
    <row r="31" spans="1:18" ht="21" customHeight="1" thickTop="1" x14ac:dyDescent="0.4">
      <c r="A31" s="43"/>
      <c r="B31" s="43"/>
      <c r="C31" s="43"/>
      <c r="D31" s="43"/>
      <c r="E31" s="43"/>
      <c r="F31" s="43"/>
      <c r="G31" s="43"/>
      <c r="H31" s="43"/>
      <c r="I31" s="43"/>
      <c r="K31" s="91"/>
      <c r="M31" s="92"/>
      <c r="N31" s="92"/>
      <c r="O31" s="92"/>
      <c r="P31" s="91"/>
    </row>
    <row r="32" spans="1:18" ht="18.75" x14ac:dyDescent="0.4">
      <c r="A32" s="43"/>
      <c r="B32" s="43"/>
      <c r="C32" s="43"/>
      <c r="D32" s="43"/>
      <c r="E32" s="43"/>
      <c r="F32" s="43"/>
      <c r="G32" s="43"/>
      <c r="H32" s="43"/>
      <c r="I32" s="43"/>
      <c r="K32" s="91"/>
      <c r="M32" s="92"/>
      <c r="N32" s="92"/>
      <c r="O32" s="92"/>
      <c r="P32" s="91"/>
      <c r="Q32" s="91"/>
    </row>
    <row r="33" spans="1:17" ht="13.5" customHeight="1" x14ac:dyDescent="0.4">
      <c r="A33" s="43"/>
      <c r="B33" s="43"/>
      <c r="C33" s="43"/>
      <c r="D33" s="43"/>
      <c r="E33" s="43"/>
      <c r="F33" s="43"/>
      <c r="G33" s="43"/>
      <c r="H33" s="43"/>
      <c r="I33" s="43"/>
      <c r="K33" s="91"/>
      <c r="P33" s="91"/>
      <c r="Q33" s="91"/>
    </row>
    <row r="34" spans="1:17" ht="14.25" customHeight="1" x14ac:dyDescent="0.4">
      <c r="A34" s="43"/>
      <c r="B34" s="43"/>
      <c r="C34" s="43"/>
      <c r="D34" s="43"/>
      <c r="E34" s="43"/>
      <c r="F34" s="43"/>
      <c r="G34" s="43"/>
      <c r="H34" s="43"/>
      <c r="K34" s="91"/>
      <c r="P34" s="91"/>
      <c r="Q34" s="91"/>
    </row>
    <row r="35" spans="1:17" x14ac:dyDescent="0.15">
      <c r="A35" s="43"/>
      <c r="B35" s="43"/>
      <c r="C35" s="43"/>
      <c r="D35" s="43"/>
      <c r="E35" s="43"/>
      <c r="F35" s="43"/>
      <c r="G35" s="43"/>
      <c r="H35" s="43"/>
    </row>
    <row r="36" spans="1:17" x14ac:dyDescent="0.15">
      <c r="A36" s="43"/>
      <c r="B36" s="43"/>
      <c r="C36" s="43"/>
      <c r="D36" s="43"/>
      <c r="E36" s="43"/>
      <c r="F36" s="43"/>
      <c r="G36" s="43"/>
      <c r="H36" s="43"/>
    </row>
    <row r="37" spans="1:17" x14ac:dyDescent="0.15">
      <c r="A37" s="43"/>
      <c r="B37" s="43"/>
      <c r="C37" s="43"/>
      <c r="D37" s="43"/>
      <c r="E37" s="43"/>
      <c r="F37" s="43"/>
      <c r="G37" s="43"/>
      <c r="H37" s="43"/>
    </row>
  </sheetData>
  <mergeCells count="14">
    <mergeCell ref="C30:D30"/>
    <mergeCell ref="E30:F30"/>
    <mergeCell ref="G23:H23"/>
    <mergeCell ref="G24:H24"/>
    <mergeCell ref="C28:D28"/>
    <mergeCell ref="E28:F28"/>
    <mergeCell ref="C29:D29"/>
    <mergeCell ref="E29:F29"/>
    <mergeCell ref="A2:D3"/>
    <mergeCell ref="G3:H3"/>
    <mergeCell ref="L3:O11"/>
    <mergeCell ref="A7:H8"/>
    <mergeCell ref="F11:H11"/>
    <mergeCell ref="G22:H22"/>
  </mergeCells>
  <phoneticPr fontId="3"/>
  <pageMargins left="0.51181102362204722" right="0.51181102362204722" top="0.74803149606299213" bottom="0.74803149606299213" header="0.31496062992125984" footer="0.31496062992125984"/>
  <pageSetup paperSize="9" scale="7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コンパッソ税理士法人</vt:lpstr>
      <vt:lpstr>S-9.LM2 (2)</vt:lpstr>
      <vt:lpstr>'S-9.LM2 (2)'!Print_Area</vt:lpstr>
      <vt:lpstr>コンパッソ税理士法人!Print_Area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oc-0319</dc:creator>
  <cp:lastModifiedBy>oc-0319</cp:lastModifiedBy>
  <dcterms:created xsi:type="dcterms:W3CDTF">2026-07-24T06:25:58Z</dcterms:created>
  <dcterms:modified xsi:type="dcterms:W3CDTF">2026-07-24T06:28:29Z</dcterms:modified>
</cp:coreProperties>
</file>